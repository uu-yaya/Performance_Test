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产品清单" sheetId="1" state="visible" r:id="rId1"/>
    <sheet xmlns:r="http://schemas.openxmlformats.org/officeDocument/2006/relationships" name="测试环境" sheetId="2" state="visible" r:id="rId2"/>
    <sheet xmlns:r="http://schemas.openxmlformats.org/officeDocument/2006/relationships" name="场景记录" sheetId="3" state="visible" r:id="rId3"/>
    <sheet xmlns:r="http://schemas.openxmlformats.org/officeDocument/2006/relationships" name="采样数据" sheetId="4" state="visible" r:id="rId4"/>
    <sheet xmlns:r="http://schemas.openxmlformats.org/officeDocument/2006/relationships" name="汇总评分" sheetId="5" state="visible" r:id="rId5"/>
    <sheet xmlns:r="http://schemas.openxmlformats.org/officeDocument/2006/relationships" name="问题记录" sheetId="6" state="visible" r:id="rId6"/>
    <sheet xmlns:r="http://schemas.openxmlformats.org/officeDocument/2006/relationships" name="字段说明" sheetId="7" state="visible" r:id="rId7"/>
    <sheet xmlns:r="http://schemas.openxmlformats.org/officeDocument/2006/relationships" name="自动采集说明" sheetId="8" state="visible" r:id="rId8"/>
    <sheet xmlns:r="http://schemas.openxmlformats.org/officeDocument/2006/relationships" name="自动采集导入" sheetId="9" state="visible" r:id="rId9"/>
  </sheets>
  <definedNames>
    <definedName name="_xlnm._FilterDatabase" localSheetId="2" hidden="1">'场景记录'!$A$1:$AB$22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color rgb="00222222"/>
      <sz val="10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B8CDD1"/>
      </left>
      <right style="thin">
        <color rgb="00B8CDD1"/>
      </right>
      <top style="thin">
        <color rgb="00B8CDD1"/>
      </top>
      <bottom style="thin">
        <color rgb="00B8CDD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FFF4D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产品总分对比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'汇总评分'!M1</f>
            </strRef>
          </tx>
          <spPr>
            <a:ln xmlns:a="http://schemas.openxmlformats.org/drawingml/2006/main">
              <a:prstDash val="solid"/>
            </a:ln>
          </spPr>
          <cat>
            <numRef>
              <f>'汇总评分'!$B$2:$B$4</f>
            </numRef>
          </cat>
          <val>
            <numRef>
              <f>'汇总评分'!$M$2:$M$4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产品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总分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16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products" displayName="tbl_products" ref="A1:J4" headerRowCount="1">
  <autoFilter ref="A1:J4"/>
  <tableColumns count="10">
    <tableColumn id="1" name="产品ID"/>
    <tableColumn id="2" name="产品名称"/>
    <tableColumn id="3" name="来源渠道"/>
    <tableColumn id="4" name="链接/路径"/>
    <tableColumn id="5" name="版本/Release/Commit"/>
    <tableColumn id="6" name="运行方式"/>
    <tableColumn id="7" name="主进程名"/>
    <tableColumn id="8" name="子进程/依赖"/>
    <tableColumn id="9" name="关键配置"/>
    <tableColumn id="10" name="备注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tbl_environment" displayName="tbl_environment" ref="A1:C14" headerRowCount="1">
  <autoFilter ref="A1:C14"/>
  <tableColumns count="3">
    <tableColumn id="1" name="字段"/>
    <tableColumn id="2" name="填写值"/>
    <tableColumn id="3" name="说明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tbl_scenarios" displayName="tbl_scenarios" ref="A1:AB22" headerRowCount="1">
  <autoFilter ref="A1:AB22"/>
  <tableColumns count="28">
    <tableColumn id="1" name="记录ID"/>
    <tableColumn id="2" name="产品ID"/>
    <tableColumn id="3" name="产品名称"/>
    <tableColumn id="4" name="场景"/>
    <tableColumn id="5" name="轮次"/>
    <tableColumn id="6" name="开始时间"/>
    <tableColumn id="7" name="结束时间"/>
    <tableColumn id="8" name="时长分钟"/>
    <tableColumn id="9" name="CPU平均%"/>
    <tableColumn id="10" name="CPU P95%"/>
    <tableColumn id="11" name="CPU最大%"/>
    <tableColumn id="12" name="GPU平均%"/>
    <tableColumn id="13" name="GPU P95%"/>
    <tableColumn id="14" name="GPU最大%"/>
    <tableColumn id="15" name="内存平均MB"/>
    <tableColumn id="16" name="内存最大MB"/>
    <tableColumn id="17" name="显存平均MB"/>
    <tableColumn id="18" name="显存最大MB"/>
    <tableColumn id="19" name="句柄增长"/>
    <tableColumn id="20" name="线程增长"/>
    <tableColumn id="21" name="FPS平均"/>
    <tableColumn id="22" name="1% Low"/>
    <tableColumn id="23" name="帧时间P95ms"/>
    <tableColumn id="24" name="功耗W"/>
    <tableColumn id="25" name="最高温度C"/>
    <tableColumn id="26" name="体验评分1-5"/>
    <tableColumn id="27" name="风险等级"/>
    <tableColumn id="28" name="现象/备注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tbl_samples" displayName="tbl_samples" ref="A1:P51" headerRowCount="1">
  <autoFilter ref="A1:P51"/>
  <tableColumns count="16">
    <tableColumn id="1" name="样本ID"/>
    <tableColumn id="2" name="记录ID"/>
    <tableColumn id="3" name="时间戳"/>
    <tableColumn id="4" name="进程名"/>
    <tableColumn id="5" name="CPU%"/>
    <tableColumn id="6" name="GPU%"/>
    <tableColumn id="7" name="内存MB"/>
    <tableColumn id="8" name="显存MB"/>
    <tableColumn id="9" name="句柄数"/>
    <tableColumn id="10" name="线程数"/>
    <tableColumn id="11" name="FPS"/>
    <tableColumn id="12" name="帧时间ms"/>
    <tableColumn id="13" name="GPU Busy%"/>
    <tableColumn id="14" name="功耗W"/>
    <tableColumn id="15" name="温度C"/>
    <tableColumn id="16" name="备注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tbl_summary" displayName="tbl_summary" ref="A1:O51" headerRowCount="1">
  <autoFilter ref="A1:O51"/>
  <tableColumns count="15">
    <tableColumn id="1" name="产品ID"/>
    <tableColumn id="2" name="产品名称"/>
    <tableColumn id="3" name="来源渠道"/>
    <tableColumn id="4" name="CPU空闲P95%"/>
    <tableColumn id="5" name="GPU空闲P95%"/>
    <tableColumn id="6" name="内存最大MB"/>
    <tableColumn id="7" name="长时间内存增长MB"/>
    <tableColumn id="8" name="游戏1%Low降幅%"/>
    <tableColumn id="9" name="性能评分"/>
    <tableColumn id="10" name="体验评分"/>
    <tableColumn id="11" name="稳定性评分"/>
    <tableColumn id="12" name="隐私/权限风险"/>
    <tableColumn id="13" name="总分"/>
    <tableColumn id="14" name="推荐等级"/>
    <tableColumn id="15" name="结论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tbl_issues" displayName="tbl_issues" ref="A1:J16" headerRowCount="1">
  <autoFilter ref="A1:J16"/>
  <tableColumns count="10">
    <tableColumn id="1" name="问题ID"/>
    <tableColumn id="2" name="产品ID"/>
    <tableColumn id="3" name="场景"/>
    <tableColumn id="4" name="严重度"/>
    <tableColumn id="5" name="问题类型"/>
    <tableColumn id="6" name="现象描述"/>
    <tableColumn id="7" name="复现步骤"/>
    <tableColumn id="8" name="证据路径"/>
    <tableColumn id="9" name="处理建议"/>
    <tableColumn id="10" name="状态"/>
  </tableColumns>
  <tableStyleInfo name="TableStyleMedium2" showRowStripes="1" showColumnStripes="0"/>
</table>
</file>

<file path=xl/tables/table7.xml><?xml version="1.0" encoding="utf-8"?>
<table xmlns="http://schemas.openxmlformats.org/spreadsheetml/2006/main" id="7" name="tbl_guide" displayName="tbl_guide" ref="A1:B8" headerRowCount="1">
  <autoFilter ref="A1:B8"/>
  <tableColumns count="2">
    <tableColumn id="1" name="字段/概念"/>
    <tableColumn id="2" name="说明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5.xml" Id="rId2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30" customWidth="1" min="4" max="4"/>
    <col width="22" customWidth="1" min="5" max="5"/>
    <col width="16" customWidth="1" min="6" max="6"/>
    <col width="16" customWidth="1" min="7" max="7"/>
    <col width="22" customWidth="1" min="8" max="8"/>
    <col width="34" customWidth="1" min="9" max="9"/>
    <col width="24" customWidth="1" min="10" max="10"/>
  </cols>
  <sheetData>
    <row r="1" ht="34" customHeight="1">
      <c r="A1" s="1" t="inlineStr">
        <is>
          <t>产品ID</t>
        </is>
      </c>
      <c r="B1" s="1" t="inlineStr">
        <is>
          <t>产品名称</t>
        </is>
      </c>
      <c r="C1" s="1" t="inlineStr">
        <is>
          <t>来源渠道</t>
        </is>
      </c>
      <c r="D1" s="1" t="inlineStr">
        <is>
          <t>链接/路径</t>
        </is>
      </c>
      <c r="E1" s="1" t="inlineStr">
        <is>
          <t>版本/Release/Commit</t>
        </is>
      </c>
      <c r="F1" s="1" t="inlineStr">
        <is>
          <t>运行方式</t>
        </is>
      </c>
      <c r="G1" s="1" t="inlineStr">
        <is>
          <t>主进程名</t>
        </is>
      </c>
      <c r="H1" s="1" t="inlineStr">
        <is>
          <t>子进程/依赖</t>
        </is>
      </c>
      <c r="I1" s="1" t="inlineStr">
        <is>
          <t>关键配置</t>
        </is>
      </c>
      <c r="J1" s="1" t="inlineStr">
        <is>
          <t>备注</t>
        </is>
      </c>
    </row>
    <row r="2" ht="28" customHeight="1">
      <c r="A2" s="2" t="inlineStr">
        <is>
          <t>P001</t>
        </is>
      </c>
      <c r="B2" s="2" t="inlineStr">
        <is>
          <t>BongoCat</t>
        </is>
      </c>
      <c r="C2" s="2" t="inlineStr">
        <is>
          <t>GitHub Release</t>
        </is>
      </c>
      <c r="D2" s="2" t="inlineStr"/>
      <c r="E2" s="2" t="inlineStr"/>
      <c r="F2" s="2" t="inlineStr">
        <is>
          <t>exe 直接运行</t>
        </is>
      </c>
      <c r="G2" s="2" t="inlineStr"/>
      <c r="H2" s="2" t="inlineStr"/>
      <c r="I2" s="2" t="inlineStr">
        <is>
          <t>默认动画；记录是否监听键盘/鼠标</t>
        </is>
      </c>
      <c r="J2" s="2" t="inlineStr"/>
    </row>
    <row r="3" ht="28" customHeight="1">
      <c r="A3" s="2" t="inlineStr">
        <is>
          <t>P002</t>
        </is>
      </c>
      <c r="B3" s="2" t="inlineStr">
        <is>
          <t>Open LLM Vtuber</t>
        </is>
      </c>
      <c r="C3" s="2" t="inlineStr">
        <is>
          <t>GitHub Source</t>
        </is>
      </c>
      <c r="D3" s="2" t="inlineStr"/>
      <c r="E3" s="2" t="inlineStr"/>
      <c r="F3" s="2" t="inlineStr">
        <is>
          <t>源码运行</t>
        </is>
      </c>
      <c r="G3" s="2" t="inlineStr"/>
      <c r="H3" s="2" t="inlineStr">
        <is>
          <t>Python/Node/模型服务</t>
        </is>
      </c>
      <c r="I3" s="2" t="inlineStr">
        <is>
          <t>记录模型、麦克风、语音设置</t>
        </is>
      </c>
      <c r="J3" s="2" t="inlineStr"/>
    </row>
    <row r="4" ht="28" customHeight="1">
      <c r="A4" s="2" t="inlineStr">
        <is>
          <t>P003</t>
        </is>
      </c>
      <c r="B4" s="2" t="inlineStr">
        <is>
          <t>Desktop Mate</t>
        </is>
      </c>
      <c r="C4" s="2" t="inlineStr">
        <is>
          <t>Steam</t>
        </is>
      </c>
      <c r="D4" s="2" t="inlineStr"/>
      <c r="E4" s="2" t="inlineStr"/>
      <c r="F4" s="2" t="inlineStr">
        <is>
          <t>Steam 启动</t>
        </is>
      </c>
      <c r="G4" s="2" t="inlineStr"/>
      <c r="H4" s="2" t="inlineStr"/>
      <c r="I4" s="2" t="inlineStr">
        <is>
          <t>记录 DLC/模型和帧率设置</t>
        </is>
      </c>
      <c r="J4" s="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48" customWidth="1" min="3" max="3"/>
  </cols>
  <sheetData>
    <row r="1" ht="34" customHeight="1">
      <c r="A1" s="1" t="inlineStr">
        <is>
          <t>字段</t>
        </is>
      </c>
      <c r="B1" s="1" t="inlineStr">
        <is>
          <t>填写值</t>
        </is>
      </c>
      <c r="C1" s="1" t="inlineStr">
        <is>
          <t>说明</t>
        </is>
      </c>
    </row>
    <row r="2" ht="28" customHeight="1">
      <c r="A2" s="2" t="inlineStr">
        <is>
          <t>测试日期</t>
        </is>
      </c>
      <c r="B2" s="2" t="inlineStr"/>
      <c r="C2" s="2" t="inlineStr">
        <is>
          <t>格式：YYYY-MM-DD</t>
        </is>
      </c>
    </row>
    <row r="3" ht="28" customHeight="1">
      <c r="A3" s="2" t="inlineStr">
        <is>
          <t>测试人员</t>
        </is>
      </c>
      <c r="B3" s="2" t="inlineStr"/>
      <c r="C3" s="2" t="inlineStr"/>
    </row>
    <row r="4" ht="28" customHeight="1">
      <c r="A4" s="2" t="inlineStr">
        <is>
          <t>系统版本</t>
        </is>
      </c>
      <c r="B4" s="2" t="inlineStr">
        <is>
          <t>Windows</t>
        </is>
      </c>
      <c r="C4" s="2" t="inlineStr">
        <is>
          <t>例如 Windows 11 23H2</t>
        </is>
      </c>
    </row>
    <row r="5" ht="28" customHeight="1">
      <c r="A5" s="2" t="inlineStr">
        <is>
          <t>CPU</t>
        </is>
      </c>
      <c r="B5" s="2" t="inlineStr"/>
      <c r="C5" s="2" t="inlineStr">
        <is>
          <t>型号和核心数</t>
        </is>
      </c>
    </row>
    <row r="6" ht="28" customHeight="1">
      <c r="A6" s="2" t="inlineStr">
        <is>
          <t>GPU</t>
        </is>
      </c>
      <c r="B6" s="2" t="inlineStr"/>
      <c r="C6" s="2" t="inlineStr">
        <is>
          <t>独显/核显型号</t>
        </is>
      </c>
    </row>
    <row r="7" ht="28" customHeight="1">
      <c r="A7" s="2" t="inlineStr">
        <is>
          <t>内存</t>
        </is>
      </c>
      <c r="B7" s="2" t="inlineStr"/>
      <c r="C7" s="2" t="inlineStr">
        <is>
          <t>容量和频率</t>
        </is>
      </c>
    </row>
    <row r="8" ht="28" customHeight="1">
      <c r="A8" s="2" t="inlineStr">
        <is>
          <t>显示器</t>
        </is>
      </c>
      <c r="B8" s="2" t="inlineStr"/>
      <c r="C8" s="2" t="inlineStr">
        <is>
          <t>分辨率、刷新率、缩放比例、多屏情况</t>
        </is>
      </c>
    </row>
    <row r="9" ht="28" customHeight="1">
      <c r="A9" s="2" t="inlineStr">
        <is>
          <t>电源模式</t>
        </is>
      </c>
      <c r="B9" s="2" t="inlineStr"/>
      <c r="C9" s="2" t="inlineStr">
        <is>
          <t>平衡/最佳性能/节能</t>
        </is>
      </c>
    </row>
    <row r="10" ht="28" customHeight="1">
      <c r="A10" s="2" t="inlineStr">
        <is>
          <t>网络状态</t>
        </is>
      </c>
      <c r="B10" s="2" t="inlineStr"/>
      <c r="C10" s="2" t="inlineStr">
        <is>
          <t>有线/Wi-Fi/代理/离线</t>
        </is>
      </c>
    </row>
    <row r="11" ht="28" customHeight="1">
      <c r="A11" s="2" t="inlineStr">
        <is>
          <t>后台控制</t>
        </is>
      </c>
      <c r="B11" s="2" t="inlineStr"/>
      <c r="C11" s="2" t="inlineStr">
        <is>
          <t>关闭无关应用、暂停同步/下载</t>
        </is>
      </c>
    </row>
    <row r="12" ht="28" customHeight="1">
      <c r="A12" s="2" t="inlineStr">
        <is>
          <t>采样工具</t>
        </is>
      </c>
      <c r="B12" s="2" t="inlineStr"/>
      <c r="C12" s="2" t="inlineStr">
        <is>
          <t>typeperf/HWiNFO/PresentMon/FrameView 等</t>
        </is>
      </c>
    </row>
    <row r="13" ht="28" customHeight="1">
      <c r="A13" s="2" t="inlineStr">
        <is>
          <t>采样间隔</t>
        </is>
      </c>
      <c r="B13" s="2" t="inlineStr">
        <is>
          <t>1 秒</t>
        </is>
      </c>
      <c r="C13" s="2" t="inlineStr">
        <is>
          <t>建议统一 1 秒</t>
        </is>
      </c>
    </row>
    <row r="14" ht="28" customHeight="1">
      <c r="A14" s="2" t="inlineStr">
        <is>
          <t>系统基线说明</t>
        </is>
      </c>
      <c r="B14" s="2" t="inlineStr"/>
      <c r="C14" s="2" t="inlineStr">
        <is>
          <t>测试前 5 分钟背景占用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</cols>
  <sheetData>
    <row r="1" ht="34" customHeight="1">
      <c r="A1" s="3" t="inlineStr">
        <is>
          <t>记录ID</t>
        </is>
      </c>
      <c r="B1" s="3" t="inlineStr">
        <is>
          <t>产品ID</t>
        </is>
      </c>
      <c r="C1" s="3" t="inlineStr">
        <is>
          <t>产品名称</t>
        </is>
      </c>
      <c r="D1" s="3" t="inlineStr">
        <is>
          <t>场景</t>
        </is>
      </c>
      <c r="E1" s="3" t="inlineStr">
        <is>
          <t>轮次</t>
        </is>
      </c>
      <c r="F1" s="3" t="inlineStr">
        <is>
          <t>开始时间</t>
        </is>
      </c>
      <c r="G1" s="3" t="inlineStr">
        <is>
          <t>结束时间</t>
        </is>
      </c>
      <c r="H1" s="3" t="inlineStr">
        <is>
          <t>时长分钟</t>
        </is>
      </c>
      <c r="I1" s="3" t="inlineStr">
        <is>
          <t>CPU平均%</t>
        </is>
      </c>
      <c r="J1" s="3" t="inlineStr">
        <is>
          <t>CPU P95%</t>
        </is>
      </c>
      <c r="K1" s="3" t="inlineStr">
        <is>
          <t>CPU最大%</t>
        </is>
      </c>
      <c r="L1" s="3" t="inlineStr">
        <is>
          <t>GPU平均%</t>
        </is>
      </c>
      <c r="M1" s="3" t="inlineStr">
        <is>
          <t>GPU P95%</t>
        </is>
      </c>
      <c r="N1" s="3" t="inlineStr">
        <is>
          <t>GPU最大%</t>
        </is>
      </c>
      <c r="O1" s="3" t="inlineStr">
        <is>
          <t>内存平均MB</t>
        </is>
      </c>
      <c r="P1" s="3" t="inlineStr">
        <is>
          <t>内存最大MB</t>
        </is>
      </c>
      <c r="Q1" s="3" t="inlineStr">
        <is>
          <t>显存平均MB</t>
        </is>
      </c>
      <c r="R1" s="3" t="inlineStr">
        <is>
          <t>显存最大MB</t>
        </is>
      </c>
      <c r="S1" s="3" t="inlineStr">
        <is>
          <t>句柄增长</t>
        </is>
      </c>
      <c r="T1" s="3" t="inlineStr">
        <is>
          <t>线程增长</t>
        </is>
      </c>
      <c r="U1" s="3" t="inlineStr">
        <is>
          <t>FPS平均</t>
        </is>
      </c>
      <c r="V1" s="3" t="inlineStr">
        <is>
          <t>1% Low</t>
        </is>
      </c>
      <c r="W1" s="3" t="inlineStr">
        <is>
          <t>帧时间P95ms</t>
        </is>
      </c>
      <c r="X1" s="3" t="inlineStr">
        <is>
          <t>功耗W</t>
        </is>
      </c>
      <c r="Y1" s="3" t="inlineStr">
        <is>
          <t>最高温度C</t>
        </is>
      </c>
      <c r="Z1" s="3" t="inlineStr">
        <is>
          <t>体验评分1-5</t>
        </is>
      </c>
      <c r="AA1" s="3" t="inlineStr">
        <is>
          <t>风险等级</t>
        </is>
      </c>
      <c r="AB1" s="3" t="inlineStr">
        <is>
          <t>现象/备注</t>
        </is>
      </c>
    </row>
    <row r="2" ht="28" customHeight="1">
      <c r="A2" s="4" t="inlineStr">
        <is>
          <t>R001</t>
        </is>
      </c>
      <c r="B2" s="4" t="inlineStr">
        <is>
          <t>P001</t>
        </is>
      </c>
      <c r="C2" s="4" t="inlineStr">
        <is>
          <t>BongoCat</t>
        </is>
      </c>
      <c r="D2" s="4" t="inlineStr">
        <is>
          <t>系统基线</t>
        </is>
      </c>
      <c r="E2" s="4" t="n">
        <v>1</v>
      </c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  <c r="O2" s="4" t="inlineStr"/>
      <c r="P2" s="4" t="inlineStr"/>
      <c r="Q2" s="4" t="inlineStr"/>
      <c r="R2" s="4" t="inlineStr"/>
      <c r="S2" s="4" t="inlineStr"/>
      <c r="T2" s="4" t="inlineStr"/>
      <c r="U2" s="4" t="inlineStr"/>
      <c r="V2" s="4" t="inlineStr"/>
      <c r="W2" s="4" t="inlineStr"/>
      <c r="X2" s="4" t="inlineStr"/>
      <c r="Y2" s="4" t="inlineStr"/>
      <c r="Z2" s="4" t="inlineStr"/>
      <c r="AA2" s="4" t="inlineStr"/>
      <c r="AB2" s="4" t="inlineStr"/>
    </row>
    <row r="3" ht="28" customHeight="1">
      <c r="A3" s="4" t="inlineStr">
        <is>
          <t>R002</t>
        </is>
      </c>
      <c r="B3" s="4" t="inlineStr">
        <is>
          <t>P001</t>
        </is>
      </c>
      <c r="C3" s="4" t="inlineStr">
        <is>
          <t>BongoCat</t>
        </is>
      </c>
      <c r="D3" s="4" t="inlineStr">
        <is>
          <t>启动峰值</t>
        </is>
      </c>
      <c r="E3" s="4" t="n">
        <v>1</v>
      </c>
      <c r="F3" s="4" t="inlineStr"/>
      <c r="G3" s="4" t="inlineStr"/>
      <c r="H3" s="4" t="inlineStr"/>
      <c r="I3" s="4" t="inlineStr"/>
      <c r="J3" s="4" t="inlineStr"/>
      <c r="K3" s="4" t="inlineStr"/>
      <c r="L3" s="4" t="inlineStr"/>
      <c r="M3" s="4" t="inlineStr"/>
      <c r="N3" s="4" t="inlineStr"/>
      <c r="O3" s="4" t="inlineStr"/>
      <c r="P3" s="4" t="inlineStr"/>
      <c r="Q3" s="4" t="inlineStr"/>
      <c r="R3" s="4" t="inlineStr"/>
      <c r="S3" s="4" t="inlineStr"/>
      <c r="T3" s="4" t="inlineStr"/>
      <c r="U3" s="4" t="inlineStr"/>
      <c r="V3" s="4" t="inlineStr"/>
      <c r="W3" s="4" t="inlineStr"/>
      <c r="X3" s="4" t="inlineStr"/>
      <c r="Y3" s="4" t="inlineStr"/>
      <c r="Z3" s="4" t="inlineStr"/>
      <c r="AA3" s="4" t="inlineStr"/>
      <c r="AB3" s="4" t="inlineStr"/>
    </row>
    <row r="4" ht="28" customHeight="1">
      <c r="A4" s="4" t="inlineStr">
        <is>
          <t>R003</t>
        </is>
      </c>
      <c r="B4" s="4" t="inlineStr">
        <is>
          <t>P001</t>
        </is>
      </c>
      <c r="C4" s="4" t="inlineStr">
        <is>
          <t>BongoCat</t>
        </is>
      </c>
      <c r="D4" s="4" t="inlineStr">
        <is>
          <t>空闲常驻</t>
        </is>
      </c>
      <c r="E4" s="4" t="n">
        <v>1</v>
      </c>
      <c r="F4" s="4" t="inlineStr"/>
      <c r="G4" s="4" t="inlineStr"/>
      <c r="H4" s="4" t="inlineStr"/>
      <c r="I4" s="4" t="inlineStr"/>
      <c r="J4" s="4" t="inlineStr"/>
      <c r="K4" s="4" t="inlineStr"/>
      <c r="L4" s="4" t="inlineStr"/>
      <c r="M4" s="4" t="inlineStr"/>
      <c r="N4" s="4" t="inlineStr"/>
      <c r="O4" s="4" t="inlineStr"/>
      <c r="P4" s="4" t="inlineStr"/>
      <c r="Q4" s="4" t="inlineStr"/>
      <c r="R4" s="4" t="inlineStr"/>
      <c r="S4" s="4" t="inlineStr"/>
      <c r="T4" s="4" t="inlineStr"/>
      <c r="U4" s="4" t="inlineStr"/>
      <c r="V4" s="4" t="inlineStr"/>
      <c r="W4" s="4" t="inlineStr"/>
      <c r="X4" s="4" t="inlineStr"/>
      <c r="Y4" s="4" t="inlineStr"/>
      <c r="Z4" s="4" t="inlineStr"/>
      <c r="AA4" s="4" t="inlineStr"/>
      <c r="AB4" s="4" t="inlineStr"/>
    </row>
    <row r="5" ht="28" customHeight="1">
      <c r="A5" s="4" t="inlineStr">
        <is>
          <t>R004</t>
        </is>
      </c>
      <c r="B5" s="4" t="inlineStr">
        <is>
          <t>P001</t>
        </is>
      </c>
      <c r="C5" s="4" t="inlineStr">
        <is>
          <t>BongoCat</t>
        </is>
      </c>
      <c r="D5" s="4" t="inlineStr">
        <is>
          <t>基础交互</t>
        </is>
      </c>
      <c r="E5" s="4" t="n">
        <v>1</v>
      </c>
      <c r="F5" s="4" t="inlineStr"/>
      <c r="G5" s="4" t="inlineStr"/>
      <c r="H5" s="4" t="inlineStr"/>
      <c r="I5" s="4" t="inlineStr"/>
      <c r="J5" s="4" t="inlineStr"/>
      <c r="K5" s="4" t="inlineStr"/>
      <c r="L5" s="4" t="inlineStr"/>
      <c r="M5" s="4" t="inlineStr"/>
      <c r="N5" s="4" t="inlineStr"/>
      <c r="O5" s="4" t="inlineStr"/>
      <c r="P5" s="4" t="inlineStr"/>
      <c r="Q5" s="4" t="inlineStr"/>
      <c r="R5" s="4" t="inlineStr"/>
      <c r="S5" s="4" t="inlineStr"/>
      <c r="T5" s="4" t="inlineStr"/>
      <c r="U5" s="4" t="inlineStr"/>
      <c r="V5" s="4" t="inlineStr"/>
      <c r="W5" s="4" t="inlineStr"/>
      <c r="X5" s="4" t="inlineStr"/>
      <c r="Y5" s="4" t="inlineStr"/>
      <c r="Z5" s="4" t="inlineStr"/>
      <c r="AA5" s="4" t="inlineStr"/>
      <c r="AB5" s="4" t="inlineStr"/>
    </row>
    <row r="6" ht="28" customHeight="1">
      <c r="A6" s="4" t="inlineStr">
        <is>
          <t>R005</t>
        </is>
      </c>
      <c r="B6" s="4" t="inlineStr">
        <is>
          <t>P001</t>
        </is>
      </c>
      <c r="C6" s="4" t="inlineStr">
        <is>
          <t>BongoCat</t>
        </is>
      </c>
      <c r="D6" s="4" t="inlineStr">
        <is>
          <t>功能开启</t>
        </is>
      </c>
      <c r="E6" s="4" t="n">
        <v>1</v>
      </c>
      <c r="F6" s="4" t="inlineStr"/>
      <c r="G6" s="4" t="inlineStr"/>
      <c r="H6" s="4" t="inlineStr"/>
      <c r="I6" s="4" t="inlineStr"/>
      <c r="J6" s="4" t="inlineStr"/>
      <c r="K6" s="4" t="inlineStr"/>
      <c r="L6" s="4" t="inlineStr"/>
      <c r="M6" s="4" t="inlineStr"/>
      <c r="N6" s="4" t="inlineStr"/>
      <c r="O6" s="4" t="inlineStr"/>
      <c r="P6" s="4" t="inlineStr"/>
      <c r="Q6" s="4" t="inlineStr"/>
      <c r="R6" s="4" t="inlineStr"/>
      <c r="S6" s="4" t="inlineStr"/>
      <c r="T6" s="4" t="inlineStr"/>
      <c r="U6" s="4" t="inlineStr"/>
      <c r="V6" s="4" t="inlineStr"/>
      <c r="W6" s="4" t="inlineStr"/>
      <c r="X6" s="4" t="inlineStr"/>
      <c r="Y6" s="4" t="inlineStr"/>
      <c r="Z6" s="4" t="inlineStr"/>
      <c r="AA6" s="4" t="inlineStr"/>
      <c r="AB6" s="4" t="inlineStr"/>
    </row>
    <row r="7" ht="28" customHeight="1">
      <c r="A7" s="4" t="inlineStr">
        <is>
          <t>R006</t>
        </is>
      </c>
      <c r="B7" s="4" t="inlineStr">
        <is>
          <t>P001</t>
        </is>
      </c>
      <c r="C7" s="4" t="inlineStr">
        <is>
          <t>BongoCat</t>
        </is>
      </c>
      <c r="D7" s="4" t="inlineStr">
        <is>
          <t>长时间稳定</t>
        </is>
      </c>
      <c r="E7" s="4" t="n">
        <v>1</v>
      </c>
      <c r="F7" s="4" t="inlineStr"/>
      <c r="G7" s="4" t="inlineStr"/>
      <c r="H7" s="4" t="inlineStr"/>
      <c r="I7" s="4" t="inlineStr"/>
      <c r="J7" s="4" t="inlineStr"/>
      <c r="K7" s="4" t="inlineStr"/>
      <c r="L7" s="4" t="inlineStr"/>
      <c r="M7" s="4" t="inlineStr"/>
      <c r="N7" s="4" t="inlineStr"/>
      <c r="O7" s="4" t="inlineStr"/>
      <c r="P7" s="4" t="inlineStr"/>
      <c r="Q7" s="4" t="inlineStr"/>
      <c r="R7" s="4" t="inlineStr"/>
      <c r="S7" s="4" t="inlineStr"/>
      <c r="T7" s="4" t="inlineStr"/>
      <c r="U7" s="4" t="inlineStr"/>
      <c r="V7" s="4" t="inlineStr"/>
      <c r="W7" s="4" t="inlineStr"/>
      <c r="X7" s="4" t="inlineStr"/>
      <c r="Y7" s="4" t="inlineStr"/>
      <c r="Z7" s="4" t="inlineStr"/>
      <c r="AA7" s="4" t="inlineStr"/>
      <c r="AB7" s="4" t="inlineStr"/>
    </row>
    <row r="8" ht="28" customHeight="1">
      <c r="A8" s="4" t="inlineStr">
        <is>
          <t>R007</t>
        </is>
      </c>
      <c r="B8" s="4" t="inlineStr">
        <is>
          <t>P001</t>
        </is>
      </c>
      <c r="C8" s="4" t="inlineStr">
        <is>
          <t>BongoCat</t>
        </is>
      </c>
      <c r="D8" s="4" t="inlineStr">
        <is>
          <t>游戏影响</t>
        </is>
      </c>
      <c r="E8" s="4" t="n">
        <v>1</v>
      </c>
      <c r="F8" s="4" t="inlineStr"/>
      <c r="G8" s="4" t="inlineStr"/>
      <c r="H8" s="4" t="inlineStr"/>
      <c r="I8" s="4" t="inlineStr"/>
      <c r="J8" s="4" t="inlineStr"/>
      <c r="K8" s="4" t="inlineStr"/>
      <c r="L8" s="4" t="inlineStr"/>
      <c r="M8" s="4" t="inlineStr"/>
      <c r="N8" s="4" t="inlineStr"/>
      <c r="O8" s="4" t="inlineStr"/>
      <c r="P8" s="4" t="inlineStr"/>
      <c r="Q8" s="4" t="inlineStr"/>
      <c r="R8" s="4" t="inlineStr"/>
      <c r="S8" s="4" t="inlineStr"/>
      <c r="T8" s="4" t="inlineStr"/>
      <c r="U8" s="4" t="inlineStr"/>
      <c r="V8" s="4" t="inlineStr"/>
      <c r="W8" s="4" t="inlineStr"/>
      <c r="X8" s="4" t="inlineStr"/>
      <c r="Y8" s="4" t="inlineStr"/>
      <c r="Z8" s="4" t="inlineStr"/>
      <c r="AA8" s="4" t="inlineStr"/>
      <c r="AB8" s="4" t="inlineStr"/>
    </row>
    <row r="9" ht="28" customHeight="1">
      <c r="A9" s="4" t="inlineStr">
        <is>
          <t>R008</t>
        </is>
      </c>
      <c r="B9" s="4" t="inlineStr">
        <is>
          <t>P002</t>
        </is>
      </c>
      <c r="C9" s="4" t="inlineStr">
        <is>
          <t>Open LLM Vtuber</t>
        </is>
      </c>
      <c r="D9" s="4" t="inlineStr">
        <is>
          <t>系统基线</t>
        </is>
      </c>
      <c r="E9" s="4" t="n">
        <v>1</v>
      </c>
      <c r="F9" s="4" t="inlineStr"/>
      <c r="G9" s="4" t="inlineStr"/>
      <c r="H9" s="4" t="inlineStr"/>
      <c r="I9" s="4" t="inlineStr"/>
      <c r="J9" s="4" t="inlineStr"/>
      <c r="K9" s="4" t="inlineStr"/>
      <c r="L9" s="4" t="inlineStr"/>
      <c r="M9" s="4" t="inlineStr"/>
      <c r="N9" s="4" t="inlineStr"/>
      <c r="O9" s="4" t="inlineStr"/>
      <c r="P9" s="4" t="inlineStr"/>
      <c r="Q9" s="4" t="inlineStr"/>
      <c r="R9" s="4" t="inlineStr"/>
      <c r="S9" s="4" t="inlineStr"/>
      <c r="T9" s="4" t="inlineStr"/>
      <c r="U9" s="4" t="inlineStr"/>
      <c r="V9" s="4" t="inlineStr"/>
      <c r="W9" s="4" t="inlineStr"/>
      <c r="X9" s="4" t="inlineStr"/>
      <c r="Y9" s="4" t="inlineStr"/>
      <c r="Z9" s="4" t="inlineStr"/>
      <c r="AA9" s="4" t="inlineStr"/>
      <c r="AB9" s="4" t="inlineStr"/>
    </row>
    <row r="10" ht="28" customHeight="1">
      <c r="A10" s="4" t="inlineStr">
        <is>
          <t>R009</t>
        </is>
      </c>
      <c r="B10" s="4" t="inlineStr">
        <is>
          <t>P002</t>
        </is>
      </c>
      <c r="C10" s="4" t="inlineStr">
        <is>
          <t>Open LLM Vtuber</t>
        </is>
      </c>
      <c r="D10" s="4" t="inlineStr">
        <is>
          <t>启动峰值</t>
        </is>
      </c>
      <c r="E10" s="4" t="n">
        <v>1</v>
      </c>
      <c r="F10" s="4" t="inlineStr"/>
      <c r="G10" s="4" t="inlineStr"/>
      <c r="H10" s="4" t="inlineStr"/>
      <c r="I10" s="4" t="inlineStr"/>
      <c r="J10" s="4" t="inlineStr"/>
      <c r="K10" s="4" t="inlineStr"/>
      <c r="L10" s="4" t="inlineStr"/>
      <c r="M10" s="4" t="inlineStr"/>
      <c r="N10" s="4" t="inlineStr"/>
      <c r="O10" s="4" t="inlineStr"/>
      <c r="P10" s="4" t="inlineStr"/>
      <c r="Q10" s="4" t="inlineStr"/>
      <c r="R10" s="4" t="inlineStr"/>
      <c r="S10" s="4" t="inlineStr"/>
      <c r="T10" s="4" t="inlineStr"/>
      <c r="U10" s="4" t="inlineStr"/>
      <c r="V10" s="4" t="inlineStr"/>
      <c r="W10" s="4" t="inlineStr"/>
      <c r="X10" s="4" t="inlineStr"/>
      <c r="Y10" s="4" t="inlineStr"/>
      <c r="Z10" s="4" t="inlineStr"/>
      <c r="AA10" s="4" t="inlineStr"/>
      <c r="AB10" s="4" t="inlineStr"/>
    </row>
    <row r="11" ht="28" customHeight="1">
      <c r="A11" s="4" t="inlineStr">
        <is>
          <t>R010</t>
        </is>
      </c>
      <c r="B11" s="4" t="inlineStr">
        <is>
          <t>P002</t>
        </is>
      </c>
      <c r="C11" s="4" t="inlineStr">
        <is>
          <t>Open LLM Vtuber</t>
        </is>
      </c>
      <c r="D11" s="4" t="inlineStr">
        <is>
          <t>空闲常驻</t>
        </is>
      </c>
      <c r="E11" s="4" t="n">
        <v>1</v>
      </c>
      <c r="F11" s="4" t="inlineStr"/>
      <c r="G11" s="4" t="inlineStr"/>
      <c r="H11" s="4" t="inlineStr"/>
      <c r="I11" s="4" t="inlineStr"/>
      <c r="J11" s="4" t="inlineStr"/>
      <c r="K11" s="4" t="inlineStr"/>
      <c r="L11" s="4" t="inlineStr"/>
      <c r="M11" s="4" t="inlineStr"/>
      <c r="N11" s="4" t="inlineStr"/>
      <c r="O11" s="4" t="inlineStr"/>
      <c r="P11" s="4" t="inlineStr"/>
      <c r="Q11" s="4" t="inlineStr"/>
      <c r="R11" s="4" t="inlineStr"/>
      <c r="S11" s="4" t="inlineStr"/>
      <c r="T11" s="4" t="inlineStr"/>
      <c r="U11" s="4" t="inlineStr"/>
      <c r="V11" s="4" t="inlineStr"/>
      <c r="W11" s="4" t="inlineStr"/>
      <c r="X11" s="4" t="inlineStr"/>
      <c r="Y11" s="4" t="inlineStr"/>
      <c r="Z11" s="4" t="inlineStr"/>
      <c r="AA11" s="4" t="inlineStr"/>
      <c r="AB11" s="4" t="inlineStr"/>
    </row>
    <row r="12" ht="28" customHeight="1">
      <c r="A12" s="4" t="inlineStr">
        <is>
          <t>R011</t>
        </is>
      </c>
      <c r="B12" s="4" t="inlineStr">
        <is>
          <t>P002</t>
        </is>
      </c>
      <c r="C12" s="4" t="inlineStr">
        <is>
          <t>Open LLM Vtuber</t>
        </is>
      </c>
      <c r="D12" s="4" t="inlineStr">
        <is>
          <t>基础交互</t>
        </is>
      </c>
      <c r="E12" s="4" t="n">
        <v>1</v>
      </c>
      <c r="F12" s="4" t="inlineStr"/>
      <c r="G12" s="4" t="inlineStr"/>
      <c r="H12" s="4" t="inlineStr"/>
      <c r="I12" s="4" t="inlineStr"/>
      <c r="J12" s="4" t="inlineStr"/>
      <c r="K12" s="4" t="inlineStr"/>
      <c r="L12" s="4" t="inlineStr"/>
      <c r="M12" s="4" t="inlineStr"/>
      <c r="N12" s="4" t="inlineStr"/>
      <c r="O12" s="4" t="inlineStr"/>
      <c r="P12" s="4" t="inlineStr"/>
      <c r="Q12" s="4" t="inlineStr"/>
      <c r="R12" s="4" t="inlineStr"/>
      <c r="S12" s="4" t="inlineStr"/>
      <c r="T12" s="4" t="inlineStr"/>
      <c r="U12" s="4" t="inlineStr"/>
      <c r="V12" s="4" t="inlineStr"/>
      <c r="W12" s="4" t="inlineStr"/>
      <c r="X12" s="4" t="inlineStr"/>
      <c r="Y12" s="4" t="inlineStr"/>
      <c r="Z12" s="4" t="inlineStr"/>
      <c r="AA12" s="4" t="inlineStr"/>
      <c r="AB12" s="4" t="inlineStr"/>
    </row>
    <row r="13" ht="28" customHeight="1">
      <c r="A13" s="4" t="inlineStr">
        <is>
          <t>R012</t>
        </is>
      </c>
      <c r="B13" s="4" t="inlineStr">
        <is>
          <t>P002</t>
        </is>
      </c>
      <c r="C13" s="4" t="inlineStr">
        <is>
          <t>Open LLM Vtuber</t>
        </is>
      </c>
      <c r="D13" s="4" t="inlineStr">
        <is>
          <t>功能开启</t>
        </is>
      </c>
      <c r="E13" s="4" t="n">
        <v>1</v>
      </c>
      <c r="F13" s="4" t="inlineStr"/>
      <c r="G13" s="4" t="inlineStr"/>
      <c r="H13" s="4" t="inlineStr"/>
      <c r="I13" s="4" t="inlineStr"/>
      <c r="J13" s="4" t="inlineStr"/>
      <c r="K13" s="4" t="inlineStr"/>
      <c r="L13" s="4" t="inlineStr"/>
      <c r="M13" s="4" t="inlineStr"/>
      <c r="N13" s="4" t="inlineStr"/>
      <c r="O13" s="4" t="inlineStr"/>
      <c r="P13" s="4" t="inlineStr"/>
      <c r="Q13" s="4" t="inlineStr"/>
      <c r="R13" s="4" t="inlineStr"/>
      <c r="S13" s="4" t="inlineStr"/>
      <c r="T13" s="4" t="inlineStr"/>
      <c r="U13" s="4" t="inlineStr"/>
      <c r="V13" s="4" t="inlineStr"/>
      <c r="W13" s="4" t="inlineStr"/>
      <c r="X13" s="4" t="inlineStr"/>
      <c r="Y13" s="4" t="inlineStr"/>
      <c r="Z13" s="4" t="inlineStr"/>
      <c r="AA13" s="4" t="inlineStr"/>
      <c r="AB13" s="4" t="inlineStr"/>
    </row>
    <row r="14" ht="28" customHeight="1">
      <c r="A14" s="4" t="inlineStr">
        <is>
          <t>R013</t>
        </is>
      </c>
      <c r="B14" s="4" t="inlineStr">
        <is>
          <t>P002</t>
        </is>
      </c>
      <c r="C14" s="4" t="inlineStr">
        <is>
          <t>Open LLM Vtuber</t>
        </is>
      </c>
      <c r="D14" s="4" t="inlineStr">
        <is>
          <t>长时间稳定</t>
        </is>
      </c>
      <c r="E14" s="4" t="n">
        <v>1</v>
      </c>
      <c r="F14" s="4" t="inlineStr"/>
      <c r="G14" s="4" t="inlineStr"/>
      <c r="H14" s="4" t="inlineStr"/>
      <c r="I14" s="4" t="inlineStr"/>
      <c r="J14" s="4" t="inlineStr"/>
      <c r="K14" s="4" t="inlineStr"/>
      <c r="L14" s="4" t="inlineStr"/>
      <c r="M14" s="4" t="inlineStr"/>
      <c r="N14" s="4" t="inlineStr"/>
      <c r="O14" s="4" t="inlineStr"/>
      <c r="P14" s="4" t="inlineStr"/>
      <c r="Q14" s="4" t="inlineStr"/>
      <c r="R14" s="4" t="inlineStr"/>
      <c r="S14" s="4" t="inlineStr"/>
      <c r="T14" s="4" t="inlineStr"/>
      <c r="U14" s="4" t="inlineStr"/>
      <c r="V14" s="4" t="inlineStr"/>
      <c r="W14" s="4" t="inlineStr"/>
      <c r="X14" s="4" t="inlineStr"/>
      <c r="Y14" s="4" t="inlineStr"/>
      <c r="Z14" s="4" t="inlineStr"/>
      <c r="AA14" s="4" t="inlineStr"/>
      <c r="AB14" s="4" t="inlineStr"/>
    </row>
    <row r="15" ht="28" customHeight="1">
      <c r="A15" s="4" t="inlineStr">
        <is>
          <t>R014</t>
        </is>
      </c>
      <c r="B15" s="4" t="inlineStr">
        <is>
          <t>P002</t>
        </is>
      </c>
      <c r="C15" s="4" t="inlineStr">
        <is>
          <t>Open LLM Vtuber</t>
        </is>
      </c>
      <c r="D15" s="4" t="inlineStr">
        <is>
          <t>游戏影响</t>
        </is>
      </c>
      <c r="E15" s="4" t="n">
        <v>1</v>
      </c>
      <c r="F15" s="4" t="inlineStr"/>
      <c r="G15" s="4" t="inlineStr"/>
      <c r="H15" s="4" t="inlineStr"/>
      <c r="I15" s="4" t="inlineStr"/>
      <c r="J15" s="4" t="inlineStr"/>
      <c r="K15" s="4" t="inlineStr"/>
      <c r="L15" s="4" t="inlineStr"/>
      <c r="M15" s="4" t="inlineStr"/>
      <c r="N15" s="4" t="inlineStr"/>
      <c r="O15" s="4" t="inlineStr"/>
      <c r="P15" s="4" t="inlineStr"/>
      <c r="Q15" s="4" t="inlineStr"/>
      <c r="R15" s="4" t="inlineStr"/>
      <c r="S15" s="4" t="inlineStr"/>
      <c r="T15" s="4" t="inlineStr"/>
      <c r="U15" s="4" t="inlineStr"/>
      <c r="V15" s="4" t="inlineStr"/>
      <c r="W15" s="4" t="inlineStr"/>
      <c r="X15" s="4" t="inlineStr"/>
      <c r="Y15" s="4" t="inlineStr"/>
      <c r="Z15" s="4" t="inlineStr"/>
      <c r="AA15" s="4" t="inlineStr"/>
      <c r="AB15" s="4" t="inlineStr"/>
    </row>
    <row r="16" ht="28" customHeight="1">
      <c r="A16" s="4" t="inlineStr">
        <is>
          <t>R015</t>
        </is>
      </c>
      <c r="B16" s="4" t="inlineStr">
        <is>
          <t>P003</t>
        </is>
      </c>
      <c r="C16" s="4" t="inlineStr">
        <is>
          <t>Desktop Mate</t>
        </is>
      </c>
      <c r="D16" s="4" t="inlineStr">
        <is>
          <t>系统基线</t>
        </is>
      </c>
      <c r="E16" s="4" t="n">
        <v>1</v>
      </c>
      <c r="F16" s="4" t="inlineStr"/>
      <c r="G16" s="4" t="inlineStr"/>
      <c r="H16" s="4" t="inlineStr"/>
      <c r="I16" s="4" t="inlineStr"/>
      <c r="J16" s="4" t="inlineStr"/>
      <c r="K16" s="4" t="inlineStr"/>
      <c r="L16" s="4" t="inlineStr"/>
      <c r="M16" s="4" t="inlineStr"/>
      <c r="N16" s="4" t="inlineStr"/>
      <c r="O16" s="4" t="inlineStr"/>
      <c r="P16" s="4" t="inlineStr"/>
      <c r="Q16" s="4" t="inlineStr"/>
      <c r="R16" s="4" t="inlineStr"/>
      <c r="S16" s="4" t="inlineStr"/>
      <c r="T16" s="4" t="inlineStr"/>
      <c r="U16" s="4" t="inlineStr"/>
      <c r="V16" s="4" t="inlineStr"/>
      <c r="W16" s="4" t="inlineStr"/>
      <c r="X16" s="4" t="inlineStr"/>
      <c r="Y16" s="4" t="inlineStr"/>
      <c r="Z16" s="4" t="inlineStr"/>
      <c r="AA16" s="4" t="inlineStr"/>
      <c r="AB16" s="4" t="inlineStr"/>
    </row>
    <row r="17" ht="28" customHeight="1">
      <c r="A17" s="4" t="inlineStr">
        <is>
          <t>R016</t>
        </is>
      </c>
      <c r="B17" s="4" t="inlineStr">
        <is>
          <t>P003</t>
        </is>
      </c>
      <c r="C17" s="4" t="inlineStr">
        <is>
          <t>Desktop Mate</t>
        </is>
      </c>
      <c r="D17" s="4" t="inlineStr">
        <is>
          <t>启动峰值</t>
        </is>
      </c>
      <c r="E17" s="4" t="n">
        <v>1</v>
      </c>
      <c r="F17" s="4" t="inlineStr"/>
      <c r="G17" s="4" t="inlineStr"/>
      <c r="H17" s="4" t="inlineStr"/>
      <c r="I17" s="4" t="inlineStr"/>
      <c r="J17" s="4" t="inlineStr"/>
      <c r="K17" s="4" t="inlineStr"/>
      <c r="L17" s="4" t="inlineStr"/>
      <c r="M17" s="4" t="inlineStr"/>
      <c r="N17" s="4" t="inlineStr"/>
      <c r="O17" s="4" t="inlineStr"/>
      <c r="P17" s="4" t="inlineStr"/>
      <c r="Q17" s="4" t="inlineStr"/>
      <c r="R17" s="4" t="inlineStr"/>
      <c r="S17" s="4" t="inlineStr"/>
      <c r="T17" s="4" t="inlineStr"/>
      <c r="U17" s="4" t="inlineStr"/>
      <c r="V17" s="4" t="inlineStr"/>
      <c r="W17" s="4" t="inlineStr"/>
      <c r="X17" s="4" t="inlineStr"/>
      <c r="Y17" s="4" t="inlineStr"/>
      <c r="Z17" s="4" t="inlineStr"/>
      <c r="AA17" s="4" t="inlineStr"/>
      <c r="AB17" s="4" t="inlineStr"/>
    </row>
    <row r="18" ht="28" customHeight="1">
      <c r="A18" s="4" t="inlineStr">
        <is>
          <t>R017</t>
        </is>
      </c>
      <c r="B18" s="4" t="inlineStr">
        <is>
          <t>P003</t>
        </is>
      </c>
      <c r="C18" s="4" t="inlineStr">
        <is>
          <t>Desktop Mate</t>
        </is>
      </c>
      <c r="D18" s="4" t="inlineStr">
        <is>
          <t>空闲常驻</t>
        </is>
      </c>
      <c r="E18" s="4" t="n">
        <v>1</v>
      </c>
      <c r="F18" s="4" t="inlineStr"/>
      <c r="G18" s="4" t="inlineStr"/>
      <c r="H18" s="4" t="inlineStr"/>
      <c r="I18" s="4" t="inlineStr"/>
      <c r="J18" s="4" t="inlineStr"/>
      <c r="K18" s="4" t="inlineStr"/>
      <c r="L18" s="4" t="inlineStr"/>
      <c r="M18" s="4" t="inlineStr"/>
      <c r="N18" s="4" t="inlineStr"/>
      <c r="O18" s="4" t="inlineStr"/>
      <c r="P18" s="4" t="inlineStr"/>
      <c r="Q18" s="4" t="inlineStr"/>
      <c r="R18" s="4" t="inlineStr"/>
      <c r="S18" s="4" t="inlineStr"/>
      <c r="T18" s="4" t="inlineStr"/>
      <c r="U18" s="4" t="inlineStr"/>
      <c r="V18" s="4" t="inlineStr"/>
      <c r="W18" s="4" t="inlineStr"/>
      <c r="X18" s="4" t="inlineStr"/>
      <c r="Y18" s="4" t="inlineStr"/>
      <c r="Z18" s="4" t="inlineStr"/>
      <c r="AA18" s="4" t="inlineStr"/>
      <c r="AB18" s="4" t="inlineStr"/>
    </row>
    <row r="19" ht="28" customHeight="1">
      <c r="A19" s="4" t="inlineStr">
        <is>
          <t>R018</t>
        </is>
      </c>
      <c r="B19" s="4" t="inlineStr">
        <is>
          <t>P003</t>
        </is>
      </c>
      <c r="C19" s="4" t="inlineStr">
        <is>
          <t>Desktop Mate</t>
        </is>
      </c>
      <c r="D19" s="4" t="inlineStr">
        <is>
          <t>基础交互</t>
        </is>
      </c>
      <c r="E19" s="4" t="n">
        <v>1</v>
      </c>
      <c r="F19" s="4" t="inlineStr"/>
      <c r="G19" s="4" t="inlineStr"/>
      <c r="H19" s="4" t="inlineStr"/>
      <c r="I19" s="4" t="inlineStr"/>
      <c r="J19" s="4" t="inlineStr"/>
      <c r="K19" s="4" t="inlineStr"/>
      <c r="L19" s="4" t="inlineStr"/>
      <c r="M19" s="4" t="inlineStr"/>
      <c r="N19" s="4" t="inlineStr"/>
      <c r="O19" s="4" t="inlineStr"/>
      <c r="P19" s="4" t="inlineStr"/>
      <c r="Q19" s="4" t="inlineStr"/>
      <c r="R19" s="4" t="inlineStr"/>
      <c r="S19" s="4" t="inlineStr"/>
      <c r="T19" s="4" t="inlineStr"/>
      <c r="U19" s="4" t="inlineStr"/>
      <c r="V19" s="4" t="inlineStr"/>
      <c r="W19" s="4" t="inlineStr"/>
      <c r="X19" s="4" t="inlineStr"/>
      <c r="Y19" s="4" t="inlineStr"/>
      <c r="Z19" s="4" t="inlineStr"/>
      <c r="AA19" s="4" t="inlineStr"/>
      <c r="AB19" s="4" t="inlineStr"/>
    </row>
    <row r="20" ht="28" customHeight="1">
      <c r="A20" s="4" t="inlineStr">
        <is>
          <t>R019</t>
        </is>
      </c>
      <c r="B20" s="4" t="inlineStr">
        <is>
          <t>P003</t>
        </is>
      </c>
      <c r="C20" s="4" t="inlineStr">
        <is>
          <t>Desktop Mate</t>
        </is>
      </c>
      <c r="D20" s="4" t="inlineStr">
        <is>
          <t>功能开启</t>
        </is>
      </c>
      <c r="E20" s="4" t="n">
        <v>1</v>
      </c>
      <c r="F20" s="4" t="inlineStr"/>
      <c r="G20" s="4" t="inlineStr"/>
      <c r="H20" s="4" t="inlineStr"/>
      <c r="I20" s="4" t="inlineStr"/>
      <c r="J20" s="4" t="inlineStr"/>
      <c r="K20" s="4" t="inlineStr"/>
      <c r="L20" s="4" t="inlineStr"/>
      <c r="M20" s="4" t="inlineStr"/>
      <c r="N20" s="4" t="inlineStr"/>
      <c r="O20" s="4" t="inlineStr"/>
      <c r="P20" s="4" t="inlineStr"/>
      <c r="Q20" s="4" t="inlineStr"/>
      <c r="R20" s="4" t="inlineStr"/>
      <c r="S20" s="4" t="inlineStr"/>
      <c r="T20" s="4" t="inlineStr"/>
      <c r="U20" s="4" t="inlineStr"/>
      <c r="V20" s="4" t="inlineStr"/>
      <c r="W20" s="4" t="inlineStr"/>
      <c r="X20" s="4" t="inlineStr"/>
      <c r="Y20" s="4" t="inlineStr"/>
      <c r="Z20" s="4" t="inlineStr"/>
      <c r="AA20" s="4" t="inlineStr"/>
      <c r="AB20" s="4" t="inlineStr"/>
    </row>
    <row r="21" ht="28" customHeight="1">
      <c r="A21" s="4" t="inlineStr">
        <is>
          <t>R020</t>
        </is>
      </c>
      <c r="B21" s="4" t="inlineStr">
        <is>
          <t>P003</t>
        </is>
      </c>
      <c r="C21" s="4" t="inlineStr">
        <is>
          <t>Desktop Mate</t>
        </is>
      </c>
      <c r="D21" s="4" t="inlineStr">
        <is>
          <t>长时间稳定</t>
        </is>
      </c>
      <c r="E21" s="4" t="n">
        <v>1</v>
      </c>
      <c r="F21" s="4" t="inlineStr"/>
      <c r="G21" s="4" t="inlineStr"/>
      <c r="H21" s="4" t="inlineStr"/>
      <c r="I21" s="4" t="inlineStr"/>
      <c r="J21" s="4" t="inlineStr"/>
      <c r="K21" s="4" t="inlineStr"/>
      <c r="L21" s="4" t="inlineStr"/>
      <c r="M21" s="4" t="inlineStr"/>
      <c r="N21" s="4" t="inlineStr"/>
      <c r="O21" s="4" t="inlineStr"/>
      <c r="P21" s="4" t="inlineStr"/>
      <c r="Q21" s="4" t="inlineStr"/>
      <c r="R21" s="4" t="inlineStr"/>
      <c r="S21" s="4" t="inlineStr"/>
      <c r="T21" s="4" t="inlineStr"/>
      <c r="U21" s="4" t="inlineStr"/>
      <c r="V21" s="4" t="inlineStr"/>
      <c r="W21" s="4" t="inlineStr"/>
      <c r="X21" s="4" t="inlineStr"/>
      <c r="Y21" s="4" t="inlineStr"/>
      <c r="Z21" s="4" t="inlineStr"/>
      <c r="AA21" s="4" t="inlineStr"/>
      <c r="AB21" s="4" t="inlineStr"/>
    </row>
    <row r="22" ht="28" customHeight="1">
      <c r="A22" s="4" t="inlineStr">
        <is>
          <t>R021</t>
        </is>
      </c>
      <c r="B22" s="4" t="inlineStr">
        <is>
          <t>P003</t>
        </is>
      </c>
      <c r="C22" s="4" t="inlineStr">
        <is>
          <t>Desktop Mate</t>
        </is>
      </c>
      <c r="D22" s="4" t="inlineStr">
        <is>
          <t>游戏影响</t>
        </is>
      </c>
      <c r="E22" s="4" t="n">
        <v>1</v>
      </c>
      <c r="F22" s="4" t="inlineStr"/>
      <c r="G22" s="4" t="inlineStr"/>
      <c r="H22" s="4" t="inlineStr"/>
      <c r="I22" s="4" t="inlineStr"/>
      <c r="J22" s="4" t="inlineStr"/>
      <c r="K22" s="4" t="inlineStr"/>
      <c r="L22" s="4" t="inlineStr"/>
      <c r="M22" s="4" t="inlineStr"/>
      <c r="N22" s="4" t="inlineStr"/>
      <c r="O22" s="4" t="inlineStr"/>
      <c r="P22" s="4" t="inlineStr"/>
      <c r="Q22" s="4" t="inlineStr"/>
      <c r="R22" s="4" t="inlineStr"/>
      <c r="S22" s="4" t="inlineStr"/>
      <c r="T22" s="4" t="inlineStr"/>
      <c r="U22" s="4" t="inlineStr"/>
      <c r="V22" s="4" t="inlineStr"/>
      <c r="W22" s="4" t="inlineStr"/>
      <c r="X22" s="4" t="inlineStr"/>
      <c r="Y22" s="4" t="inlineStr"/>
      <c r="Z22" s="4" t="inlineStr"/>
      <c r="AA22" s="4" t="inlineStr"/>
      <c r="AB22" s="4" t="inlineStr"/>
    </row>
  </sheetData>
  <autoFilter ref="A1:AB22"/>
  <conditionalFormatting sqref="AA2:AA22">
    <cfRule type="cellIs" priority="1" operator="equal" dxfId="0">
      <formula>"高"</formula>
    </cfRule>
  </conditionalFormatting>
  <conditionalFormatting sqref="Z2:Z22">
    <cfRule type="cellIs" priority="2" operator="lessThan" dxfId="1">
      <formula>3</formula>
    </cfRule>
  </conditionalFormatting>
  <dataValidations count="2">
    <dataValidation sqref="D2:D22" showDropDown="0" showInputMessage="0" showErrorMessage="0" allowBlank="1" type="list">
      <formula1>"系统基线,启动峰值,空闲常驻,基础交互,功能开启,长时间稳定,游戏影响"</formula1>
    </dataValidation>
    <dataValidation sqref="AA2:AA22" showDropDown="0" showInputMessage="0" showErrorMessage="0" allowBlank="1" type="list">
      <formula1>"低,中,高"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3" customWidth="1" min="13" max="13"/>
    <col width="12" customWidth="1" min="14" max="14"/>
    <col width="12" customWidth="1" min="15" max="15"/>
    <col width="12" customWidth="1" min="16" max="16"/>
  </cols>
  <sheetData>
    <row r="1" ht="34" customHeight="1">
      <c r="A1" s="3" t="inlineStr">
        <is>
          <t>样本ID</t>
        </is>
      </c>
      <c r="B1" s="3" t="inlineStr">
        <is>
          <t>记录ID</t>
        </is>
      </c>
      <c r="C1" s="3" t="inlineStr">
        <is>
          <t>时间戳</t>
        </is>
      </c>
      <c r="D1" s="3" t="inlineStr">
        <is>
          <t>进程名</t>
        </is>
      </c>
      <c r="E1" s="3" t="inlineStr">
        <is>
          <t>CPU%</t>
        </is>
      </c>
      <c r="F1" s="3" t="inlineStr">
        <is>
          <t>GPU%</t>
        </is>
      </c>
      <c r="G1" s="3" t="inlineStr">
        <is>
          <t>内存MB</t>
        </is>
      </c>
      <c r="H1" s="3" t="inlineStr">
        <is>
          <t>显存MB</t>
        </is>
      </c>
      <c r="I1" s="3" t="inlineStr">
        <is>
          <t>句柄数</t>
        </is>
      </c>
      <c r="J1" s="3" t="inlineStr">
        <is>
          <t>线程数</t>
        </is>
      </c>
      <c r="K1" s="3" t="inlineStr">
        <is>
          <t>FPS</t>
        </is>
      </c>
      <c r="L1" s="3" t="inlineStr">
        <is>
          <t>帧时间ms</t>
        </is>
      </c>
      <c r="M1" s="3" t="inlineStr">
        <is>
          <t>GPU Busy%</t>
        </is>
      </c>
      <c r="N1" s="3" t="inlineStr">
        <is>
          <t>功耗W</t>
        </is>
      </c>
      <c r="O1" s="3" t="inlineStr">
        <is>
          <t>温度C</t>
        </is>
      </c>
      <c r="P1" s="3" t="inlineStr">
        <is>
          <t>备注</t>
        </is>
      </c>
    </row>
    <row r="2" ht="28" customHeight="1">
      <c r="A2" s="4" t="inlineStr">
        <is>
          <t>S0001</t>
        </is>
      </c>
      <c r="B2" s="4" t="inlineStr"/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  <c r="O2" s="4" t="inlineStr"/>
      <c r="P2" s="4" t="inlineStr"/>
    </row>
    <row r="3" ht="28" customHeight="1">
      <c r="A3" s="4" t="inlineStr">
        <is>
          <t>S0002</t>
        </is>
      </c>
      <c r="B3" s="4" t="inlineStr"/>
      <c r="C3" s="4" t="inlineStr"/>
      <c r="D3" s="4" t="inlineStr"/>
      <c r="E3" s="4" t="inlineStr"/>
      <c r="F3" s="4" t="inlineStr"/>
      <c r="G3" s="4" t="inlineStr"/>
      <c r="H3" s="4" t="inlineStr"/>
      <c r="I3" s="4" t="inlineStr"/>
      <c r="J3" s="4" t="inlineStr"/>
      <c r="K3" s="4" t="inlineStr"/>
      <c r="L3" s="4" t="inlineStr"/>
      <c r="M3" s="4" t="inlineStr"/>
      <c r="N3" s="4" t="inlineStr"/>
      <c r="O3" s="4" t="inlineStr"/>
      <c r="P3" s="4" t="inlineStr"/>
    </row>
    <row r="4" ht="28" customHeight="1">
      <c r="A4" s="4" t="inlineStr">
        <is>
          <t>S0003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  <c r="K4" s="4" t="inlineStr"/>
      <c r="L4" s="4" t="inlineStr"/>
      <c r="M4" s="4" t="inlineStr"/>
      <c r="N4" s="4" t="inlineStr"/>
      <c r="O4" s="4" t="inlineStr"/>
      <c r="P4" s="4" t="inlineStr"/>
    </row>
    <row r="5" ht="28" customHeight="1">
      <c r="A5" s="4" t="inlineStr">
        <is>
          <t>S0004</t>
        </is>
      </c>
      <c r="B5" s="4" t="inlineStr"/>
      <c r="C5" s="4" t="inlineStr"/>
      <c r="D5" s="4" t="inlineStr"/>
      <c r="E5" s="4" t="inlineStr"/>
      <c r="F5" s="4" t="inlineStr"/>
      <c r="G5" s="4" t="inlineStr"/>
      <c r="H5" s="4" t="inlineStr"/>
      <c r="I5" s="4" t="inlineStr"/>
      <c r="J5" s="4" t="inlineStr"/>
      <c r="K5" s="4" t="inlineStr"/>
      <c r="L5" s="4" t="inlineStr"/>
      <c r="M5" s="4" t="inlineStr"/>
      <c r="N5" s="4" t="inlineStr"/>
      <c r="O5" s="4" t="inlineStr"/>
      <c r="P5" s="4" t="inlineStr"/>
    </row>
    <row r="6" ht="28" customHeight="1">
      <c r="A6" s="4" t="inlineStr">
        <is>
          <t>S0005</t>
        </is>
      </c>
      <c r="B6" s="4" t="inlineStr"/>
      <c r="C6" s="4" t="inlineStr"/>
      <c r="D6" s="4" t="inlineStr"/>
      <c r="E6" s="4" t="inlineStr"/>
      <c r="F6" s="4" t="inlineStr"/>
      <c r="G6" s="4" t="inlineStr"/>
      <c r="H6" s="4" t="inlineStr"/>
      <c r="I6" s="4" t="inlineStr"/>
      <c r="J6" s="4" t="inlineStr"/>
      <c r="K6" s="4" t="inlineStr"/>
      <c r="L6" s="4" t="inlineStr"/>
      <c r="M6" s="4" t="inlineStr"/>
      <c r="N6" s="4" t="inlineStr"/>
      <c r="O6" s="4" t="inlineStr"/>
      <c r="P6" s="4" t="inlineStr"/>
    </row>
    <row r="7" ht="28" customHeight="1">
      <c r="A7" s="4" t="inlineStr">
        <is>
          <t>S0006</t>
        </is>
      </c>
      <c r="B7" s="4" t="inlineStr"/>
      <c r="C7" s="4" t="inlineStr"/>
      <c r="D7" s="4" t="inlineStr"/>
      <c r="E7" s="4" t="inlineStr"/>
      <c r="F7" s="4" t="inlineStr"/>
      <c r="G7" s="4" t="inlineStr"/>
      <c r="H7" s="4" t="inlineStr"/>
      <c r="I7" s="4" t="inlineStr"/>
      <c r="J7" s="4" t="inlineStr"/>
      <c r="K7" s="4" t="inlineStr"/>
      <c r="L7" s="4" t="inlineStr"/>
      <c r="M7" s="4" t="inlineStr"/>
      <c r="N7" s="4" t="inlineStr"/>
      <c r="O7" s="4" t="inlineStr"/>
      <c r="P7" s="4" t="inlineStr"/>
    </row>
    <row r="8" ht="28" customHeight="1">
      <c r="A8" s="4" t="inlineStr">
        <is>
          <t>S0007</t>
        </is>
      </c>
      <c r="B8" s="4" t="inlineStr"/>
      <c r="C8" s="4" t="inlineStr"/>
      <c r="D8" s="4" t="inlineStr"/>
      <c r="E8" s="4" t="inlineStr"/>
      <c r="F8" s="4" t="inlineStr"/>
      <c r="G8" s="4" t="inlineStr"/>
      <c r="H8" s="4" t="inlineStr"/>
      <c r="I8" s="4" t="inlineStr"/>
      <c r="J8" s="4" t="inlineStr"/>
      <c r="K8" s="4" t="inlineStr"/>
      <c r="L8" s="4" t="inlineStr"/>
      <c r="M8" s="4" t="inlineStr"/>
      <c r="N8" s="4" t="inlineStr"/>
      <c r="O8" s="4" t="inlineStr"/>
      <c r="P8" s="4" t="inlineStr"/>
    </row>
    <row r="9" ht="28" customHeight="1">
      <c r="A9" s="4" t="inlineStr">
        <is>
          <t>S0008</t>
        </is>
      </c>
      <c r="B9" s="4" t="inlineStr"/>
      <c r="C9" s="4" t="inlineStr"/>
      <c r="D9" s="4" t="inlineStr"/>
      <c r="E9" s="4" t="inlineStr"/>
      <c r="F9" s="4" t="inlineStr"/>
      <c r="G9" s="4" t="inlineStr"/>
      <c r="H9" s="4" t="inlineStr"/>
      <c r="I9" s="4" t="inlineStr"/>
      <c r="J9" s="4" t="inlineStr"/>
      <c r="K9" s="4" t="inlineStr"/>
      <c r="L9" s="4" t="inlineStr"/>
      <c r="M9" s="4" t="inlineStr"/>
      <c r="N9" s="4" t="inlineStr"/>
      <c r="O9" s="4" t="inlineStr"/>
      <c r="P9" s="4" t="inlineStr"/>
    </row>
    <row r="10" ht="28" customHeight="1">
      <c r="A10" s="4" t="inlineStr">
        <is>
          <t>S0009</t>
        </is>
      </c>
      <c r="B10" s="4" t="inlineStr"/>
      <c r="C10" s="4" t="inlineStr"/>
      <c r="D10" s="4" t="inlineStr"/>
      <c r="E10" s="4" t="inlineStr"/>
      <c r="F10" s="4" t="inlineStr"/>
      <c r="G10" s="4" t="inlineStr"/>
      <c r="H10" s="4" t="inlineStr"/>
      <c r="I10" s="4" t="inlineStr"/>
      <c r="J10" s="4" t="inlineStr"/>
      <c r="K10" s="4" t="inlineStr"/>
      <c r="L10" s="4" t="inlineStr"/>
      <c r="M10" s="4" t="inlineStr"/>
      <c r="N10" s="4" t="inlineStr"/>
      <c r="O10" s="4" t="inlineStr"/>
      <c r="P10" s="4" t="inlineStr"/>
    </row>
    <row r="11" ht="28" customHeight="1">
      <c r="A11" s="4" t="inlineStr">
        <is>
          <t>S0010</t>
        </is>
      </c>
      <c r="B11" s="4" t="inlineStr"/>
      <c r="C11" s="4" t="inlineStr"/>
      <c r="D11" s="4" t="inlineStr"/>
      <c r="E11" s="4" t="inlineStr"/>
      <c r="F11" s="4" t="inlineStr"/>
      <c r="G11" s="4" t="inlineStr"/>
      <c r="H11" s="4" t="inlineStr"/>
      <c r="I11" s="4" t="inlineStr"/>
      <c r="J11" s="4" t="inlineStr"/>
      <c r="K11" s="4" t="inlineStr"/>
      <c r="L11" s="4" t="inlineStr"/>
      <c r="M11" s="4" t="inlineStr"/>
      <c r="N11" s="4" t="inlineStr"/>
      <c r="O11" s="4" t="inlineStr"/>
      <c r="P11" s="4" t="inlineStr"/>
    </row>
    <row r="12" ht="28" customHeight="1">
      <c r="A12" s="4" t="inlineStr">
        <is>
          <t>S0011</t>
        </is>
      </c>
      <c r="B12" s="4" t="inlineStr"/>
      <c r="C12" s="4" t="inlineStr"/>
      <c r="D12" s="4" t="inlineStr"/>
      <c r="E12" s="4" t="inlineStr"/>
      <c r="F12" s="4" t="inlineStr"/>
      <c r="G12" s="4" t="inlineStr"/>
      <c r="H12" s="4" t="inlineStr"/>
      <c r="I12" s="4" t="inlineStr"/>
      <c r="J12" s="4" t="inlineStr"/>
      <c r="K12" s="4" t="inlineStr"/>
      <c r="L12" s="4" t="inlineStr"/>
      <c r="M12" s="4" t="inlineStr"/>
      <c r="N12" s="4" t="inlineStr"/>
      <c r="O12" s="4" t="inlineStr"/>
      <c r="P12" s="4" t="inlineStr"/>
    </row>
    <row r="13" ht="28" customHeight="1">
      <c r="A13" s="4" t="inlineStr">
        <is>
          <t>S0012</t>
        </is>
      </c>
      <c r="B13" s="4" t="inlineStr"/>
      <c r="C13" s="4" t="inlineStr"/>
      <c r="D13" s="4" t="inlineStr"/>
      <c r="E13" s="4" t="inlineStr"/>
      <c r="F13" s="4" t="inlineStr"/>
      <c r="G13" s="4" t="inlineStr"/>
      <c r="H13" s="4" t="inlineStr"/>
      <c r="I13" s="4" t="inlineStr"/>
      <c r="J13" s="4" t="inlineStr"/>
      <c r="K13" s="4" t="inlineStr"/>
      <c r="L13" s="4" t="inlineStr"/>
      <c r="M13" s="4" t="inlineStr"/>
      <c r="N13" s="4" t="inlineStr"/>
      <c r="O13" s="4" t="inlineStr"/>
      <c r="P13" s="4" t="inlineStr"/>
    </row>
    <row r="14" ht="28" customHeight="1">
      <c r="A14" s="4" t="inlineStr">
        <is>
          <t>S0013</t>
        </is>
      </c>
      <c r="B14" s="4" t="inlineStr"/>
      <c r="C14" s="4" t="inlineStr"/>
      <c r="D14" s="4" t="inlineStr"/>
      <c r="E14" s="4" t="inlineStr"/>
      <c r="F14" s="4" t="inlineStr"/>
      <c r="G14" s="4" t="inlineStr"/>
      <c r="H14" s="4" t="inlineStr"/>
      <c r="I14" s="4" t="inlineStr"/>
      <c r="J14" s="4" t="inlineStr"/>
      <c r="K14" s="4" t="inlineStr"/>
      <c r="L14" s="4" t="inlineStr"/>
      <c r="M14" s="4" t="inlineStr"/>
      <c r="N14" s="4" t="inlineStr"/>
      <c r="O14" s="4" t="inlineStr"/>
      <c r="P14" s="4" t="inlineStr"/>
    </row>
    <row r="15" ht="28" customHeight="1">
      <c r="A15" s="4" t="inlineStr">
        <is>
          <t>S0014</t>
        </is>
      </c>
      <c r="B15" s="4" t="inlineStr"/>
      <c r="C15" s="4" t="inlineStr"/>
      <c r="D15" s="4" t="inlineStr"/>
      <c r="E15" s="4" t="inlineStr"/>
      <c r="F15" s="4" t="inlineStr"/>
      <c r="G15" s="4" t="inlineStr"/>
      <c r="H15" s="4" t="inlineStr"/>
      <c r="I15" s="4" t="inlineStr"/>
      <c r="J15" s="4" t="inlineStr"/>
      <c r="K15" s="4" t="inlineStr"/>
      <c r="L15" s="4" t="inlineStr"/>
      <c r="M15" s="4" t="inlineStr"/>
      <c r="N15" s="4" t="inlineStr"/>
      <c r="O15" s="4" t="inlineStr"/>
      <c r="P15" s="4" t="inlineStr"/>
    </row>
    <row r="16" ht="28" customHeight="1">
      <c r="A16" s="4" t="inlineStr">
        <is>
          <t>S0015</t>
        </is>
      </c>
      <c r="B16" s="4" t="inlineStr"/>
      <c r="C16" s="4" t="inlineStr"/>
      <c r="D16" s="4" t="inlineStr"/>
      <c r="E16" s="4" t="inlineStr"/>
      <c r="F16" s="4" t="inlineStr"/>
      <c r="G16" s="4" t="inlineStr"/>
      <c r="H16" s="4" t="inlineStr"/>
      <c r="I16" s="4" t="inlineStr"/>
      <c r="J16" s="4" t="inlineStr"/>
      <c r="K16" s="4" t="inlineStr"/>
      <c r="L16" s="4" t="inlineStr"/>
      <c r="M16" s="4" t="inlineStr"/>
      <c r="N16" s="4" t="inlineStr"/>
      <c r="O16" s="4" t="inlineStr"/>
      <c r="P16" s="4" t="inlineStr"/>
    </row>
    <row r="17" ht="28" customHeight="1">
      <c r="A17" s="4" t="inlineStr">
        <is>
          <t>S0016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4" t="inlineStr"/>
      <c r="I17" s="4" t="inlineStr"/>
      <c r="J17" s="4" t="inlineStr"/>
      <c r="K17" s="4" t="inlineStr"/>
      <c r="L17" s="4" t="inlineStr"/>
      <c r="M17" s="4" t="inlineStr"/>
      <c r="N17" s="4" t="inlineStr"/>
      <c r="O17" s="4" t="inlineStr"/>
      <c r="P17" s="4" t="inlineStr"/>
    </row>
    <row r="18" ht="28" customHeight="1">
      <c r="A18" s="4" t="inlineStr">
        <is>
          <t>S0017</t>
        </is>
      </c>
      <c r="B18" s="4" t="inlineStr"/>
      <c r="C18" s="4" t="inlineStr"/>
      <c r="D18" s="4" t="inlineStr"/>
      <c r="E18" s="4" t="inlineStr"/>
      <c r="F18" s="4" t="inlineStr"/>
      <c r="G18" s="4" t="inlineStr"/>
      <c r="H18" s="4" t="inlineStr"/>
      <c r="I18" s="4" t="inlineStr"/>
      <c r="J18" s="4" t="inlineStr"/>
      <c r="K18" s="4" t="inlineStr"/>
      <c r="L18" s="4" t="inlineStr"/>
      <c r="M18" s="4" t="inlineStr"/>
      <c r="N18" s="4" t="inlineStr"/>
      <c r="O18" s="4" t="inlineStr"/>
      <c r="P18" s="4" t="inlineStr"/>
    </row>
    <row r="19" ht="28" customHeight="1">
      <c r="A19" s="4" t="inlineStr">
        <is>
          <t>S0018</t>
        </is>
      </c>
      <c r="B19" s="4" t="inlineStr"/>
      <c r="C19" s="4" t="inlineStr"/>
      <c r="D19" s="4" t="inlineStr"/>
      <c r="E19" s="4" t="inlineStr"/>
      <c r="F19" s="4" t="inlineStr"/>
      <c r="G19" s="4" t="inlineStr"/>
      <c r="H19" s="4" t="inlineStr"/>
      <c r="I19" s="4" t="inlineStr"/>
      <c r="J19" s="4" t="inlineStr"/>
      <c r="K19" s="4" t="inlineStr"/>
      <c r="L19" s="4" t="inlineStr"/>
      <c r="M19" s="4" t="inlineStr"/>
      <c r="N19" s="4" t="inlineStr"/>
      <c r="O19" s="4" t="inlineStr"/>
      <c r="P19" s="4" t="inlineStr"/>
    </row>
    <row r="20" ht="28" customHeight="1">
      <c r="A20" s="4" t="inlineStr">
        <is>
          <t>S0019</t>
        </is>
      </c>
      <c r="B20" s="4" t="inlineStr"/>
      <c r="C20" s="4" t="inlineStr"/>
      <c r="D20" s="4" t="inlineStr"/>
      <c r="E20" s="4" t="inlineStr"/>
      <c r="F20" s="4" t="inlineStr"/>
      <c r="G20" s="4" t="inlineStr"/>
      <c r="H20" s="4" t="inlineStr"/>
      <c r="I20" s="4" t="inlineStr"/>
      <c r="J20" s="4" t="inlineStr"/>
      <c r="K20" s="4" t="inlineStr"/>
      <c r="L20" s="4" t="inlineStr"/>
      <c r="M20" s="4" t="inlineStr"/>
      <c r="N20" s="4" t="inlineStr"/>
      <c r="O20" s="4" t="inlineStr"/>
      <c r="P20" s="4" t="inlineStr"/>
    </row>
    <row r="21" ht="28" customHeight="1">
      <c r="A21" s="4" t="inlineStr">
        <is>
          <t>S0020</t>
        </is>
      </c>
      <c r="B21" s="4" t="inlineStr"/>
      <c r="C21" s="4" t="inlineStr"/>
      <c r="D21" s="4" t="inlineStr"/>
      <c r="E21" s="4" t="inlineStr"/>
      <c r="F21" s="4" t="inlineStr"/>
      <c r="G21" s="4" t="inlineStr"/>
      <c r="H21" s="4" t="inlineStr"/>
      <c r="I21" s="4" t="inlineStr"/>
      <c r="J21" s="4" t="inlineStr"/>
      <c r="K21" s="4" t="inlineStr"/>
      <c r="L21" s="4" t="inlineStr"/>
      <c r="M21" s="4" t="inlineStr"/>
      <c r="N21" s="4" t="inlineStr"/>
      <c r="O21" s="4" t="inlineStr"/>
      <c r="P21" s="4" t="inlineStr"/>
    </row>
    <row r="22" ht="28" customHeight="1">
      <c r="A22" s="4" t="inlineStr">
        <is>
          <t>S0021</t>
        </is>
      </c>
      <c r="B22" s="4" t="inlineStr"/>
      <c r="C22" s="4" t="inlineStr"/>
      <c r="D22" s="4" t="inlineStr"/>
      <c r="E22" s="4" t="inlineStr"/>
      <c r="F22" s="4" t="inlineStr"/>
      <c r="G22" s="4" t="inlineStr"/>
      <c r="H22" s="4" t="inlineStr"/>
      <c r="I22" s="4" t="inlineStr"/>
      <c r="J22" s="4" t="inlineStr"/>
      <c r="K22" s="4" t="inlineStr"/>
      <c r="L22" s="4" t="inlineStr"/>
      <c r="M22" s="4" t="inlineStr"/>
      <c r="N22" s="4" t="inlineStr"/>
      <c r="O22" s="4" t="inlineStr"/>
      <c r="P22" s="4" t="inlineStr"/>
    </row>
    <row r="23" ht="28" customHeight="1">
      <c r="A23" s="4" t="inlineStr">
        <is>
          <t>S0022</t>
        </is>
      </c>
      <c r="B23" s="4" t="inlineStr"/>
      <c r="C23" s="4" t="inlineStr"/>
      <c r="D23" s="4" t="inlineStr"/>
      <c r="E23" s="4" t="inlineStr"/>
      <c r="F23" s="4" t="inlineStr"/>
      <c r="G23" s="4" t="inlineStr"/>
      <c r="H23" s="4" t="inlineStr"/>
      <c r="I23" s="4" t="inlineStr"/>
      <c r="J23" s="4" t="inlineStr"/>
      <c r="K23" s="4" t="inlineStr"/>
      <c r="L23" s="4" t="inlineStr"/>
      <c r="M23" s="4" t="inlineStr"/>
      <c r="N23" s="4" t="inlineStr"/>
      <c r="O23" s="4" t="inlineStr"/>
      <c r="P23" s="4" t="inlineStr"/>
    </row>
    <row r="24" ht="28" customHeight="1">
      <c r="A24" s="4" t="inlineStr">
        <is>
          <t>S0023</t>
        </is>
      </c>
      <c r="B24" s="4" t="inlineStr"/>
      <c r="C24" s="4" t="inlineStr"/>
      <c r="D24" s="4" t="inlineStr"/>
      <c r="E24" s="4" t="inlineStr"/>
      <c r="F24" s="4" t="inlineStr"/>
      <c r="G24" s="4" t="inlineStr"/>
      <c r="H24" s="4" t="inlineStr"/>
      <c r="I24" s="4" t="inlineStr"/>
      <c r="J24" s="4" t="inlineStr"/>
      <c r="K24" s="4" t="inlineStr"/>
      <c r="L24" s="4" t="inlineStr"/>
      <c r="M24" s="4" t="inlineStr"/>
      <c r="N24" s="4" t="inlineStr"/>
      <c r="O24" s="4" t="inlineStr"/>
      <c r="P24" s="4" t="inlineStr"/>
    </row>
    <row r="25" ht="28" customHeight="1">
      <c r="A25" s="4" t="inlineStr">
        <is>
          <t>S0024</t>
        </is>
      </c>
      <c r="B25" s="4" t="inlineStr"/>
      <c r="C25" s="4" t="inlineStr"/>
      <c r="D25" s="4" t="inlineStr"/>
      <c r="E25" s="4" t="inlineStr"/>
      <c r="F25" s="4" t="inlineStr"/>
      <c r="G25" s="4" t="inlineStr"/>
      <c r="H25" s="4" t="inlineStr"/>
      <c r="I25" s="4" t="inlineStr"/>
      <c r="J25" s="4" t="inlineStr"/>
      <c r="K25" s="4" t="inlineStr"/>
      <c r="L25" s="4" t="inlineStr"/>
      <c r="M25" s="4" t="inlineStr"/>
      <c r="N25" s="4" t="inlineStr"/>
      <c r="O25" s="4" t="inlineStr"/>
      <c r="P25" s="4" t="inlineStr"/>
    </row>
    <row r="26" ht="28" customHeight="1">
      <c r="A26" s="4" t="inlineStr">
        <is>
          <t>S0025</t>
        </is>
      </c>
      <c r="B26" s="4" t="inlineStr"/>
      <c r="C26" s="4" t="inlineStr"/>
      <c r="D26" s="4" t="inlineStr"/>
      <c r="E26" s="4" t="inlineStr"/>
      <c r="F26" s="4" t="inlineStr"/>
      <c r="G26" s="4" t="inlineStr"/>
      <c r="H26" s="4" t="inlineStr"/>
      <c r="I26" s="4" t="inlineStr"/>
      <c r="J26" s="4" t="inlineStr"/>
      <c r="K26" s="4" t="inlineStr"/>
      <c r="L26" s="4" t="inlineStr"/>
      <c r="M26" s="4" t="inlineStr"/>
      <c r="N26" s="4" t="inlineStr"/>
      <c r="O26" s="4" t="inlineStr"/>
      <c r="P26" s="4" t="inlineStr"/>
    </row>
    <row r="27" ht="28" customHeight="1">
      <c r="A27" s="4" t="inlineStr">
        <is>
          <t>S0026</t>
        </is>
      </c>
      <c r="B27" s="4" t="inlineStr"/>
      <c r="C27" s="4" t="inlineStr"/>
      <c r="D27" s="4" t="inlineStr"/>
      <c r="E27" s="4" t="inlineStr"/>
      <c r="F27" s="4" t="inlineStr"/>
      <c r="G27" s="4" t="inlineStr"/>
      <c r="H27" s="4" t="inlineStr"/>
      <c r="I27" s="4" t="inlineStr"/>
      <c r="J27" s="4" t="inlineStr"/>
      <c r="K27" s="4" t="inlineStr"/>
      <c r="L27" s="4" t="inlineStr"/>
      <c r="M27" s="4" t="inlineStr"/>
      <c r="N27" s="4" t="inlineStr"/>
      <c r="O27" s="4" t="inlineStr"/>
      <c r="P27" s="4" t="inlineStr"/>
    </row>
    <row r="28" ht="28" customHeight="1">
      <c r="A28" s="4" t="inlineStr">
        <is>
          <t>S0027</t>
        </is>
      </c>
      <c r="B28" s="4" t="inlineStr"/>
      <c r="C28" s="4" t="inlineStr"/>
      <c r="D28" s="4" t="inlineStr"/>
      <c r="E28" s="4" t="inlineStr"/>
      <c r="F28" s="4" t="inlineStr"/>
      <c r="G28" s="4" t="inlineStr"/>
      <c r="H28" s="4" t="inlineStr"/>
      <c r="I28" s="4" t="inlineStr"/>
      <c r="J28" s="4" t="inlineStr"/>
      <c r="K28" s="4" t="inlineStr"/>
      <c r="L28" s="4" t="inlineStr"/>
      <c r="M28" s="4" t="inlineStr"/>
      <c r="N28" s="4" t="inlineStr"/>
      <c r="O28" s="4" t="inlineStr"/>
      <c r="P28" s="4" t="inlineStr"/>
    </row>
    <row r="29" ht="28" customHeight="1">
      <c r="A29" s="4" t="inlineStr">
        <is>
          <t>S0028</t>
        </is>
      </c>
      <c r="B29" s="4" t="inlineStr"/>
      <c r="C29" s="4" t="inlineStr"/>
      <c r="D29" s="4" t="inlineStr"/>
      <c r="E29" s="4" t="inlineStr"/>
      <c r="F29" s="4" t="inlineStr"/>
      <c r="G29" s="4" t="inlineStr"/>
      <c r="H29" s="4" t="inlineStr"/>
      <c r="I29" s="4" t="inlineStr"/>
      <c r="J29" s="4" t="inlineStr"/>
      <c r="K29" s="4" t="inlineStr"/>
      <c r="L29" s="4" t="inlineStr"/>
      <c r="M29" s="4" t="inlineStr"/>
      <c r="N29" s="4" t="inlineStr"/>
      <c r="O29" s="4" t="inlineStr"/>
      <c r="P29" s="4" t="inlineStr"/>
    </row>
    <row r="30" ht="28" customHeight="1">
      <c r="A30" s="4" t="inlineStr">
        <is>
          <t>S0029</t>
        </is>
      </c>
      <c r="B30" s="4" t="inlineStr"/>
      <c r="C30" s="4" t="inlineStr"/>
      <c r="D30" s="4" t="inlineStr"/>
      <c r="E30" s="4" t="inlineStr"/>
      <c r="F30" s="4" t="inlineStr"/>
      <c r="G30" s="4" t="inlineStr"/>
      <c r="H30" s="4" t="inlineStr"/>
      <c r="I30" s="4" t="inlineStr"/>
      <c r="J30" s="4" t="inlineStr"/>
      <c r="K30" s="4" t="inlineStr"/>
      <c r="L30" s="4" t="inlineStr"/>
      <c r="M30" s="4" t="inlineStr"/>
      <c r="N30" s="4" t="inlineStr"/>
      <c r="O30" s="4" t="inlineStr"/>
      <c r="P30" s="4" t="inlineStr"/>
    </row>
    <row r="31" ht="28" customHeight="1">
      <c r="A31" s="4" t="inlineStr">
        <is>
          <t>S0030</t>
        </is>
      </c>
      <c r="B31" s="4" t="inlineStr"/>
      <c r="C31" s="4" t="inlineStr"/>
      <c r="D31" s="4" t="inlineStr"/>
      <c r="E31" s="4" t="inlineStr"/>
      <c r="F31" s="4" t="inlineStr"/>
      <c r="G31" s="4" t="inlineStr"/>
      <c r="H31" s="4" t="inlineStr"/>
      <c r="I31" s="4" t="inlineStr"/>
      <c r="J31" s="4" t="inlineStr"/>
      <c r="K31" s="4" t="inlineStr"/>
      <c r="L31" s="4" t="inlineStr"/>
      <c r="M31" s="4" t="inlineStr"/>
      <c r="N31" s="4" t="inlineStr"/>
      <c r="O31" s="4" t="inlineStr"/>
      <c r="P31" s="4" t="inlineStr"/>
    </row>
    <row r="32" ht="28" customHeight="1">
      <c r="A32" s="4" t="inlineStr">
        <is>
          <t>S0031</t>
        </is>
      </c>
      <c r="B32" s="4" t="inlineStr"/>
      <c r="C32" s="4" t="inlineStr"/>
      <c r="D32" s="4" t="inlineStr"/>
      <c r="E32" s="4" t="inlineStr"/>
      <c r="F32" s="4" t="inlineStr"/>
      <c r="G32" s="4" t="inlineStr"/>
      <c r="H32" s="4" t="inlineStr"/>
      <c r="I32" s="4" t="inlineStr"/>
      <c r="J32" s="4" t="inlineStr"/>
      <c r="K32" s="4" t="inlineStr"/>
      <c r="L32" s="4" t="inlineStr"/>
      <c r="M32" s="4" t="inlineStr"/>
      <c r="N32" s="4" t="inlineStr"/>
      <c r="O32" s="4" t="inlineStr"/>
      <c r="P32" s="4" t="inlineStr"/>
    </row>
    <row r="33" ht="28" customHeight="1">
      <c r="A33" s="4" t="inlineStr">
        <is>
          <t>S0032</t>
        </is>
      </c>
      <c r="B33" s="4" t="inlineStr"/>
      <c r="C33" s="4" t="inlineStr"/>
      <c r="D33" s="4" t="inlineStr"/>
      <c r="E33" s="4" t="inlineStr"/>
      <c r="F33" s="4" t="inlineStr"/>
      <c r="G33" s="4" t="inlineStr"/>
      <c r="H33" s="4" t="inlineStr"/>
      <c r="I33" s="4" t="inlineStr"/>
      <c r="J33" s="4" t="inlineStr"/>
      <c r="K33" s="4" t="inlineStr"/>
      <c r="L33" s="4" t="inlineStr"/>
      <c r="M33" s="4" t="inlineStr"/>
      <c r="N33" s="4" t="inlineStr"/>
      <c r="O33" s="4" t="inlineStr"/>
      <c r="P33" s="4" t="inlineStr"/>
    </row>
    <row r="34" ht="28" customHeight="1">
      <c r="A34" s="4" t="inlineStr">
        <is>
          <t>S0033</t>
        </is>
      </c>
      <c r="B34" s="4" t="inlineStr"/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/>
    </row>
    <row r="35" ht="28" customHeight="1">
      <c r="A35" s="4" t="inlineStr">
        <is>
          <t>S0034</t>
        </is>
      </c>
      <c r="B35" s="4" t="inlineStr"/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/>
    </row>
    <row r="36" ht="28" customHeight="1">
      <c r="A36" s="4" t="inlineStr">
        <is>
          <t>S0035</t>
        </is>
      </c>
      <c r="B36" s="4" t="inlineStr"/>
      <c r="C36" s="4" t="inlineStr"/>
      <c r="D36" s="4" t="inlineStr"/>
      <c r="E36" s="4" t="inlineStr"/>
      <c r="F36" s="4" t="inlineStr"/>
      <c r="G36" s="4" t="inlineStr"/>
      <c r="H36" s="4" t="inlineStr"/>
      <c r="I36" s="4" t="inlineStr"/>
      <c r="J36" s="4" t="inlineStr"/>
      <c r="K36" s="4" t="inlineStr"/>
      <c r="L36" s="4" t="inlineStr"/>
      <c r="M36" s="4" t="inlineStr"/>
      <c r="N36" s="4" t="inlineStr"/>
      <c r="O36" s="4" t="inlineStr"/>
      <c r="P36" s="4" t="inlineStr"/>
    </row>
    <row r="37" ht="28" customHeight="1">
      <c r="A37" s="4" t="inlineStr">
        <is>
          <t>S0036</t>
        </is>
      </c>
      <c r="B37" s="4" t="inlineStr"/>
      <c r="C37" s="4" t="inlineStr"/>
      <c r="D37" s="4" t="inlineStr"/>
      <c r="E37" s="4" t="inlineStr"/>
      <c r="F37" s="4" t="inlineStr"/>
      <c r="G37" s="4" t="inlineStr"/>
      <c r="H37" s="4" t="inlineStr"/>
      <c r="I37" s="4" t="inlineStr"/>
      <c r="J37" s="4" t="inlineStr"/>
      <c r="K37" s="4" t="inlineStr"/>
      <c r="L37" s="4" t="inlineStr"/>
      <c r="M37" s="4" t="inlineStr"/>
      <c r="N37" s="4" t="inlineStr"/>
      <c r="O37" s="4" t="inlineStr"/>
      <c r="P37" s="4" t="inlineStr"/>
    </row>
    <row r="38" ht="28" customHeight="1">
      <c r="A38" s="4" t="inlineStr">
        <is>
          <t>S0037</t>
        </is>
      </c>
      <c r="B38" s="4" t="inlineStr"/>
      <c r="C38" s="4" t="inlineStr"/>
      <c r="D38" s="4" t="inlineStr"/>
      <c r="E38" s="4" t="inlineStr"/>
      <c r="F38" s="4" t="inlineStr"/>
      <c r="G38" s="4" t="inlineStr"/>
      <c r="H38" s="4" t="inlineStr"/>
      <c r="I38" s="4" t="inlineStr"/>
      <c r="J38" s="4" t="inlineStr"/>
      <c r="K38" s="4" t="inlineStr"/>
      <c r="L38" s="4" t="inlineStr"/>
      <c r="M38" s="4" t="inlineStr"/>
      <c r="N38" s="4" t="inlineStr"/>
      <c r="O38" s="4" t="inlineStr"/>
      <c r="P38" s="4" t="inlineStr"/>
    </row>
    <row r="39" ht="28" customHeight="1">
      <c r="A39" s="4" t="inlineStr">
        <is>
          <t>S0038</t>
        </is>
      </c>
      <c r="B39" s="4" t="inlineStr"/>
      <c r="C39" s="4" t="inlineStr"/>
      <c r="D39" s="4" t="inlineStr"/>
      <c r="E39" s="4" t="inlineStr"/>
      <c r="F39" s="4" t="inlineStr"/>
      <c r="G39" s="4" t="inlineStr"/>
      <c r="H39" s="4" t="inlineStr"/>
      <c r="I39" s="4" t="inlineStr"/>
      <c r="J39" s="4" t="inlineStr"/>
      <c r="K39" s="4" t="inlineStr"/>
      <c r="L39" s="4" t="inlineStr"/>
      <c r="M39" s="4" t="inlineStr"/>
      <c r="N39" s="4" t="inlineStr"/>
      <c r="O39" s="4" t="inlineStr"/>
      <c r="P39" s="4" t="inlineStr"/>
    </row>
    <row r="40" ht="28" customHeight="1">
      <c r="A40" s="4" t="inlineStr">
        <is>
          <t>S0039</t>
        </is>
      </c>
      <c r="B40" s="4" t="inlineStr"/>
      <c r="C40" s="4" t="inlineStr"/>
      <c r="D40" s="4" t="inlineStr"/>
      <c r="E40" s="4" t="inlineStr"/>
      <c r="F40" s="4" t="inlineStr"/>
      <c r="G40" s="4" t="inlineStr"/>
      <c r="H40" s="4" t="inlineStr"/>
      <c r="I40" s="4" t="inlineStr"/>
      <c r="J40" s="4" t="inlineStr"/>
      <c r="K40" s="4" t="inlineStr"/>
      <c r="L40" s="4" t="inlineStr"/>
      <c r="M40" s="4" t="inlineStr"/>
      <c r="N40" s="4" t="inlineStr"/>
      <c r="O40" s="4" t="inlineStr"/>
      <c r="P40" s="4" t="inlineStr"/>
    </row>
    <row r="41" ht="28" customHeight="1">
      <c r="A41" s="4" t="inlineStr">
        <is>
          <t>S0040</t>
        </is>
      </c>
      <c r="B41" s="4" t="inlineStr"/>
      <c r="C41" s="4" t="inlineStr"/>
      <c r="D41" s="4" t="inlineStr"/>
      <c r="E41" s="4" t="inlineStr"/>
      <c r="F41" s="4" t="inlineStr"/>
      <c r="G41" s="4" t="inlineStr"/>
      <c r="H41" s="4" t="inlineStr"/>
      <c r="I41" s="4" t="inlineStr"/>
      <c r="J41" s="4" t="inlineStr"/>
      <c r="K41" s="4" t="inlineStr"/>
      <c r="L41" s="4" t="inlineStr"/>
      <c r="M41" s="4" t="inlineStr"/>
      <c r="N41" s="4" t="inlineStr"/>
      <c r="O41" s="4" t="inlineStr"/>
      <c r="P41" s="4" t="inlineStr"/>
    </row>
    <row r="42" ht="28" customHeight="1">
      <c r="A42" s="4" t="inlineStr">
        <is>
          <t>S0041</t>
        </is>
      </c>
      <c r="B42" s="4" t="inlineStr"/>
      <c r="C42" s="4" t="inlineStr"/>
      <c r="D42" s="4" t="inlineStr"/>
      <c r="E42" s="4" t="inlineStr"/>
      <c r="F42" s="4" t="inlineStr"/>
      <c r="G42" s="4" t="inlineStr"/>
      <c r="H42" s="4" t="inlineStr"/>
      <c r="I42" s="4" t="inlineStr"/>
      <c r="J42" s="4" t="inlineStr"/>
      <c r="K42" s="4" t="inlineStr"/>
      <c r="L42" s="4" t="inlineStr"/>
      <c r="M42" s="4" t="inlineStr"/>
      <c r="N42" s="4" t="inlineStr"/>
      <c r="O42" s="4" t="inlineStr"/>
      <c r="P42" s="4" t="inlineStr"/>
    </row>
    <row r="43" ht="28" customHeight="1">
      <c r="A43" s="4" t="inlineStr">
        <is>
          <t>S0042</t>
        </is>
      </c>
      <c r="B43" s="4" t="inlineStr"/>
      <c r="C43" s="4" t="inlineStr"/>
      <c r="D43" s="4" t="inlineStr"/>
      <c r="E43" s="4" t="inlineStr"/>
      <c r="F43" s="4" t="inlineStr"/>
      <c r="G43" s="4" t="inlineStr"/>
      <c r="H43" s="4" t="inlineStr"/>
      <c r="I43" s="4" t="inlineStr"/>
      <c r="J43" s="4" t="inlineStr"/>
      <c r="K43" s="4" t="inlineStr"/>
      <c r="L43" s="4" t="inlineStr"/>
      <c r="M43" s="4" t="inlineStr"/>
      <c r="N43" s="4" t="inlineStr"/>
      <c r="O43" s="4" t="inlineStr"/>
      <c r="P43" s="4" t="inlineStr"/>
    </row>
    <row r="44" ht="28" customHeight="1">
      <c r="A44" s="4" t="inlineStr">
        <is>
          <t>S0043</t>
        </is>
      </c>
      <c r="B44" s="4" t="inlineStr"/>
      <c r="C44" s="4" t="inlineStr"/>
      <c r="D44" s="4" t="inlineStr"/>
      <c r="E44" s="4" t="inlineStr"/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  <c r="N44" s="4" t="inlineStr"/>
      <c r="O44" s="4" t="inlineStr"/>
      <c r="P44" s="4" t="inlineStr"/>
    </row>
    <row r="45" ht="28" customHeight="1">
      <c r="A45" s="4" t="inlineStr">
        <is>
          <t>S0044</t>
        </is>
      </c>
      <c r="B45" s="4" t="inlineStr"/>
      <c r="C45" s="4" t="inlineStr"/>
      <c r="D45" s="4" t="inlineStr"/>
      <c r="E45" s="4" t="inlineStr"/>
      <c r="F45" s="4" t="inlineStr"/>
      <c r="G45" s="4" t="inlineStr"/>
      <c r="H45" s="4" t="inlineStr"/>
      <c r="I45" s="4" t="inlineStr"/>
      <c r="J45" s="4" t="inlineStr"/>
      <c r="K45" s="4" t="inlineStr"/>
      <c r="L45" s="4" t="inlineStr"/>
      <c r="M45" s="4" t="inlineStr"/>
      <c r="N45" s="4" t="inlineStr"/>
      <c r="O45" s="4" t="inlineStr"/>
      <c r="P45" s="4" t="inlineStr"/>
    </row>
    <row r="46" ht="28" customHeight="1">
      <c r="A46" s="4" t="inlineStr">
        <is>
          <t>S0045</t>
        </is>
      </c>
      <c r="B46" s="4" t="inlineStr"/>
      <c r="C46" s="4" t="inlineStr"/>
      <c r="D46" s="4" t="inlineStr"/>
      <c r="E46" s="4" t="inlineStr"/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  <c r="N46" s="4" t="inlineStr"/>
      <c r="O46" s="4" t="inlineStr"/>
      <c r="P46" s="4" t="inlineStr"/>
    </row>
    <row r="47" ht="28" customHeight="1">
      <c r="A47" s="4" t="inlineStr">
        <is>
          <t>S0046</t>
        </is>
      </c>
      <c r="B47" s="4" t="inlineStr"/>
      <c r="C47" s="4" t="inlineStr"/>
      <c r="D47" s="4" t="inlineStr"/>
      <c r="E47" s="4" t="inlineStr"/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/>
    </row>
    <row r="48" ht="28" customHeight="1">
      <c r="A48" s="4" t="inlineStr">
        <is>
          <t>S0047</t>
        </is>
      </c>
      <c r="B48" s="4" t="inlineStr"/>
      <c r="C48" s="4" t="inlineStr"/>
      <c r="D48" s="4" t="inlineStr"/>
      <c r="E48" s="4" t="inlineStr"/>
      <c r="F48" s="4" t="inlineStr"/>
      <c r="G48" s="4" t="inlineStr"/>
      <c r="H48" s="4" t="inlineStr"/>
      <c r="I48" s="4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/>
    </row>
    <row r="49" ht="28" customHeight="1">
      <c r="A49" s="4" t="inlineStr">
        <is>
          <t>S0048</t>
        </is>
      </c>
      <c r="B49" s="4" t="inlineStr"/>
      <c r="C49" s="4" t="inlineStr"/>
      <c r="D49" s="4" t="inlineStr"/>
      <c r="E49" s="4" t="inlineStr"/>
      <c r="F49" s="4" t="inlineStr"/>
      <c r="G49" s="4" t="inlineStr"/>
      <c r="H49" s="4" t="inlineStr"/>
      <c r="I49" s="4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/>
    </row>
    <row r="50" ht="28" customHeight="1">
      <c r="A50" s="4" t="inlineStr">
        <is>
          <t>S0049</t>
        </is>
      </c>
      <c r="B50" s="4" t="inlineStr"/>
      <c r="C50" s="4" t="inlineStr"/>
      <c r="D50" s="4" t="inlineStr"/>
      <c r="E50" s="4" t="inlineStr"/>
      <c r="F50" s="4" t="inlineStr"/>
      <c r="G50" s="4" t="inlineStr"/>
      <c r="H50" s="4" t="inlineStr"/>
      <c r="I50" s="4" t="inlineStr"/>
      <c r="J50" s="4" t="inlineStr"/>
      <c r="K50" s="4" t="inlineStr"/>
      <c r="L50" s="4" t="inlineStr"/>
      <c r="M50" s="4" t="inlineStr"/>
      <c r="N50" s="4" t="inlineStr"/>
      <c r="O50" s="4" t="inlineStr"/>
      <c r="P50" s="4" t="inlineStr"/>
    </row>
    <row r="51" ht="28" customHeight="1">
      <c r="A51" s="4" t="inlineStr">
        <is>
          <t>S0050</t>
        </is>
      </c>
      <c r="B51" s="4" t="inlineStr"/>
      <c r="C51" s="4" t="inlineStr"/>
      <c r="D51" s="4" t="inlineStr"/>
      <c r="E51" s="4" t="inlineStr"/>
      <c r="F51" s="4" t="inlineStr"/>
      <c r="G51" s="4" t="inlineStr"/>
      <c r="H51" s="4" t="inlineStr"/>
      <c r="I51" s="4" t="inlineStr"/>
      <c r="J51" s="4" t="inlineStr"/>
      <c r="K51" s="4" t="inlineStr"/>
      <c r="L51" s="4" t="inlineStr"/>
      <c r="M51" s="4" t="inlineStr"/>
      <c r="N51" s="4" t="inlineStr"/>
      <c r="O51" s="4" t="inlineStr"/>
      <c r="P51" s="4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34" customWidth="1" min="15" max="15"/>
  </cols>
  <sheetData>
    <row r="1" ht="34" customHeight="1">
      <c r="A1" s="1" t="inlineStr">
        <is>
          <t>产品ID</t>
        </is>
      </c>
      <c r="B1" s="1" t="inlineStr">
        <is>
          <t>产品名称</t>
        </is>
      </c>
      <c r="C1" s="1" t="inlineStr">
        <is>
          <t>来源渠道</t>
        </is>
      </c>
      <c r="D1" s="1" t="inlineStr">
        <is>
          <t>CPU空闲P95%</t>
        </is>
      </c>
      <c r="E1" s="1" t="inlineStr">
        <is>
          <t>GPU空闲P95%</t>
        </is>
      </c>
      <c r="F1" s="1" t="inlineStr">
        <is>
          <t>内存最大MB</t>
        </is>
      </c>
      <c r="G1" s="1" t="inlineStr">
        <is>
          <t>长时间内存增长MB</t>
        </is>
      </c>
      <c r="H1" s="1" t="inlineStr">
        <is>
          <t>游戏1%Low降幅%</t>
        </is>
      </c>
      <c r="I1" s="1" t="inlineStr">
        <is>
          <t>性能评分</t>
        </is>
      </c>
      <c r="J1" s="1" t="inlineStr">
        <is>
          <t>体验评分</t>
        </is>
      </c>
      <c r="K1" s="1" t="inlineStr">
        <is>
          <t>稳定性评分</t>
        </is>
      </c>
      <c r="L1" s="1" t="inlineStr">
        <is>
          <t>隐私/权限风险</t>
        </is>
      </c>
      <c r="M1" s="1" t="inlineStr">
        <is>
          <t>总分</t>
        </is>
      </c>
      <c r="N1" s="1" t="inlineStr">
        <is>
          <t>推荐等级</t>
        </is>
      </c>
      <c r="O1" s="1" t="inlineStr">
        <is>
          <t>结论</t>
        </is>
      </c>
    </row>
    <row r="2" ht="28" customHeight="1">
      <c r="A2" s="2">
        <f>IF(产品清单!A2="","",产品清单!A2)</f>
        <v/>
      </c>
      <c r="B2" s="2">
        <f>IF(产品清单!B2="","",产品清单!B2)</f>
        <v/>
      </c>
      <c r="C2" s="2">
        <f>IF(产品清单!C2="","",产品清单!C2)</f>
        <v/>
      </c>
      <c r="D2" s="2">
        <f>IF($A2="","",IFERROR(AVERAGEIFS(场景记录!J:J,场景记录!B:B,$A2,场景记录!D:D,"空闲常驻"),""))</f>
        <v/>
      </c>
      <c r="E2" s="2">
        <f>IF($A2="","",IFERROR(AVERAGEIFS(场景记录!M:M,场景记录!B:B,$A2,场景记录!D:D,"空闲常驻"),""))</f>
        <v/>
      </c>
      <c r="F2" s="2">
        <f>IF($A2="","",IFERROR(MAXIFS(场景记录!P:P,场景记录!B:B,$A2),""))</f>
        <v/>
      </c>
      <c r="G2" s="2" t="inlineStr"/>
      <c r="H2" s="2" t="inlineStr"/>
      <c r="I2" s="2" t="inlineStr"/>
      <c r="J2" s="2">
        <f>IF($A2="","",IFERROR(AVERAGEIFS(场景记录!Z:Z,场景记录!B:B,$A2),""))</f>
        <v/>
      </c>
      <c r="K2" s="2" t="inlineStr"/>
      <c r="L2" s="2" t="inlineStr"/>
      <c r="M2" s="2">
        <f>IF($A2="","",IFERROR(ROUND(AVERAGE(I2:L2),1),""))</f>
        <v/>
      </c>
      <c r="N2" s="2">
        <f>IF(M2="","",IF(M2&gt;=4.2,"推荐",IF(M2&gt;=3.4,"可接受",IF(M2&gt;=2.6,"谨慎","不推荐"))))</f>
        <v/>
      </c>
      <c r="O2" s="2" t="inlineStr"/>
    </row>
    <row r="3" ht="28" customHeight="1">
      <c r="A3" s="2">
        <f>IF(产品清单!A3="","",产品清单!A3)</f>
        <v/>
      </c>
      <c r="B3" s="2">
        <f>IF(产品清单!B3="","",产品清单!B3)</f>
        <v/>
      </c>
      <c r="C3" s="2">
        <f>IF(产品清单!C3="","",产品清单!C3)</f>
        <v/>
      </c>
      <c r="D3" s="2">
        <f>IF($A3="","",IFERROR(AVERAGEIFS(场景记录!J:J,场景记录!B:B,$A3,场景记录!D:D,"空闲常驻"),""))</f>
        <v/>
      </c>
      <c r="E3" s="2">
        <f>IF($A3="","",IFERROR(AVERAGEIFS(场景记录!M:M,场景记录!B:B,$A3,场景记录!D:D,"空闲常驻"),""))</f>
        <v/>
      </c>
      <c r="F3" s="2">
        <f>IF($A3="","",IFERROR(MAXIFS(场景记录!P:P,场景记录!B:B,$A3),""))</f>
        <v/>
      </c>
      <c r="G3" s="2" t="inlineStr"/>
      <c r="H3" s="2" t="inlineStr"/>
      <c r="I3" s="2" t="inlineStr"/>
      <c r="J3" s="2">
        <f>IF($A3="","",IFERROR(AVERAGEIFS(场景记录!Z:Z,场景记录!B:B,$A3),""))</f>
        <v/>
      </c>
      <c r="K3" s="2" t="inlineStr"/>
      <c r="L3" s="2" t="inlineStr"/>
      <c r="M3" s="2">
        <f>IF($A3="","",IFERROR(ROUND(AVERAGE(I3:L3),1),""))</f>
        <v/>
      </c>
      <c r="N3" s="2">
        <f>IF(M3="","",IF(M3&gt;=4.2,"推荐",IF(M3&gt;=3.4,"可接受",IF(M3&gt;=2.6,"谨慎","不推荐"))))</f>
        <v/>
      </c>
      <c r="O3" s="2" t="inlineStr"/>
    </row>
    <row r="4" ht="28" customHeight="1">
      <c r="A4" s="2">
        <f>IF(产品清单!A4="","",产品清单!A4)</f>
        <v/>
      </c>
      <c r="B4" s="2">
        <f>IF(产品清单!B4="","",产品清单!B4)</f>
        <v/>
      </c>
      <c r="C4" s="2">
        <f>IF(产品清单!C4="","",产品清单!C4)</f>
        <v/>
      </c>
      <c r="D4" s="2">
        <f>IF($A4="","",IFERROR(AVERAGEIFS(场景记录!J:J,场景记录!B:B,$A4,场景记录!D:D,"空闲常驻"),""))</f>
        <v/>
      </c>
      <c r="E4" s="2">
        <f>IF($A4="","",IFERROR(AVERAGEIFS(场景记录!M:M,场景记录!B:B,$A4,场景记录!D:D,"空闲常驻"),""))</f>
        <v/>
      </c>
      <c r="F4" s="2">
        <f>IF($A4="","",IFERROR(MAXIFS(场景记录!P:P,场景记录!B:B,$A4),""))</f>
        <v/>
      </c>
      <c r="G4" s="2" t="inlineStr"/>
      <c r="H4" s="2" t="inlineStr"/>
      <c r="I4" s="2" t="inlineStr"/>
      <c r="J4" s="2">
        <f>IF($A4="","",IFERROR(AVERAGEIFS(场景记录!Z:Z,场景记录!B:B,$A4),""))</f>
        <v/>
      </c>
      <c r="K4" s="2" t="inlineStr"/>
      <c r="L4" s="2" t="inlineStr"/>
      <c r="M4" s="2">
        <f>IF($A4="","",IFERROR(ROUND(AVERAGE(I4:L4),1),""))</f>
        <v/>
      </c>
      <c r="N4" s="2">
        <f>IF(M4="","",IF(M4&gt;=4.2,"推荐",IF(M4&gt;=3.4,"可接受",IF(M4&gt;=2.6,"谨慎","不推荐"))))</f>
        <v/>
      </c>
      <c r="O4" s="2" t="inlineStr"/>
    </row>
    <row r="5" ht="28" customHeight="1">
      <c r="A5" s="2">
        <f>IF(产品清单!A5="","",产品清单!A5)</f>
        <v/>
      </c>
      <c r="B5" s="2">
        <f>IF(产品清单!B5="","",产品清单!B5)</f>
        <v/>
      </c>
      <c r="C5" s="2">
        <f>IF(产品清单!C5="","",产品清单!C5)</f>
        <v/>
      </c>
      <c r="D5" s="2">
        <f>IF($A5="","",IFERROR(AVERAGEIFS(场景记录!J:J,场景记录!B:B,$A5,场景记录!D:D,"空闲常驻"),""))</f>
        <v/>
      </c>
      <c r="E5" s="2">
        <f>IF($A5="","",IFERROR(AVERAGEIFS(场景记录!M:M,场景记录!B:B,$A5,场景记录!D:D,"空闲常驻"),""))</f>
        <v/>
      </c>
      <c r="F5" s="2">
        <f>IF($A5="","",IFERROR(MAXIFS(场景记录!P:P,场景记录!B:B,$A5),""))</f>
        <v/>
      </c>
      <c r="G5" s="2" t="inlineStr"/>
      <c r="H5" s="2" t="inlineStr"/>
      <c r="I5" s="2" t="inlineStr"/>
      <c r="J5" s="2">
        <f>IF($A5="","",IFERROR(AVERAGEIFS(场景记录!Z:Z,场景记录!B:B,$A5),""))</f>
        <v/>
      </c>
      <c r="K5" s="2" t="inlineStr"/>
      <c r="L5" s="2" t="inlineStr"/>
      <c r="M5" s="2">
        <f>IF($A5="","",IFERROR(ROUND(AVERAGE(I5:L5),1),""))</f>
        <v/>
      </c>
      <c r="N5" s="2">
        <f>IF(M5="","",IF(M5&gt;=4.2,"推荐",IF(M5&gt;=3.4,"可接受",IF(M5&gt;=2.6,"谨慎","不推荐"))))</f>
        <v/>
      </c>
      <c r="O5" s="2" t="inlineStr"/>
    </row>
    <row r="6" ht="28" customHeight="1">
      <c r="A6" s="2">
        <f>IF(产品清单!A6="","",产品清单!A6)</f>
        <v/>
      </c>
      <c r="B6" s="2">
        <f>IF(产品清单!B6="","",产品清单!B6)</f>
        <v/>
      </c>
      <c r="C6" s="2">
        <f>IF(产品清单!C6="","",产品清单!C6)</f>
        <v/>
      </c>
      <c r="D6" s="2">
        <f>IF($A6="","",IFERROR(AVERAGEIFS(场景记录!J:J,场景记录!B:B,$A6,场景记录!D:D,"空闲常驻"),""))</f>
        <v/>
      </c>
      <c r="E6" s="2">
        <f>IF($A6="","",IFERROR(AVERAGEIFS(场景记录!M:M,场景记录!B:B,$A6,场景记录!D:D,"空闲常驻"),""))</f>
        <v/>
      </c>
      <c r="F6" s="2">
        <f>IF($A6="","",IFERROR(MAXIFS(场景记录!P:P,场景记录!B:B,$A6),""))</f>
        <v/>
      </c>
      <c r="G6" s="2" t="inlineStr"/>
      <c r="H6" s="2" t="inlineStr"/>
      <c r="I6" s="2" t="inlineStr"/>
      <c r="J6" s="2">
        <f>IF($A6="","",IFERROR(AVERAGEIFS(场景记录!Z:Z,场景记录!B:B,$A6),""))</f>
        <v/>
      </c>
      <c r="K6" s="2" t="inlineStr"/>
      <c r="L6" s="2" t="inlineStr"/>
      <c r="M6" s="2">
        <f>IF($A6="","",IFERROR(ROUND(AVERAGE(I6:L6),1),""))</f>
        <v/>
      </c>
      <c r="N6" s="2">
        <f>IF(M6="","",IF(M6&gt;=4.2,"推荐",IF(M6&gt;=3.4,"可接受",IF(M6&gt;=2.6,"谨慎","不推荐"))))</f>
        <v/>
      </c>
      <c r="O6" s="2" t="inlineStr"/>
    </row>
    <row r="7" ht="28" customHeight="1">
      <c r="A7" s="2">
        <f>IF(产品清单!A7="","",产品清单!A7)</f>
        <v/>
      </c>
      <c r="B7" s="2">
        <f>IF(产品清单!B7="","",产品清单!B7)</f>
        <v/>
      </c>
      <c r="C7" s="2">
        <f>IF(产品清单!C7="","",产品清单!C7)</f>
        <v/>
      </c>
      <c r="D7" s="2">
        <f>IF($A7="","",IFERROR(AVERAGEIFS(场景记录!J:J,场景记录!B:B,$A7,场景记录!D:D,"空闲常驻"),""))</f>
        <v/>
      </c>
      <c r="E7" s="2">
        <f>IF($A7="","",IFERROR(AVERAGEIFS(场景记录!M:M,场景记录!B:B,$A7,场景记录!D:D,"空闲常驻"),""))</f>
        <v/>
      </c>
      <c r="F7" s="2">
        <f>IF($A7="","",IFERROR(MAXIFS(场景记录!P:P,场景记录!B:B,$A7),""))</f>
        <v/>
      </c>
      <c r="G7" s="2" t="inlineStr"/>
      <c r="H7" s="2" t="inlineStr"/>
      <c r="I7" s="2" t="inlineStr"/>
      <c r="J7" s="2">
        <f>IF($A7="","",IFERROR(AVERAGEIFS(场景记录!Z:Z,场景记录!B:B,$A7),""))</f>
        <v/>
      </c>
      <c r="K7" s="2" t="inlineStr"/>
      <c r="L7" s="2" t="inlineStr"/>
      <c r="M7" s="2">
        <f>IF($A7="","",IFERROR(ROUND(AVERAGE(I7:L7),1),""))</f>
        <v/>
      </c>
      <c r="N7" s="2">
        <f>IF(M7="","",IF(M7&gt;=4.2,"推荐",IF(M7&gt;=3.4,"可接受",IF(M7&gt;=2.6,"谨慎","不推荐"))))</f>
        <v/>
      </c>
      <c r="O7" s="2" t="inlineStr"/>
    </row>
    <row r="8" ht="28" customHeight="1">
      <c r="A8" s="2">
        <f>IF(产品清单!A8="","",产品清单!A8)</f>
        <v/>
      </c>
      <c r="B8" s="2">
        <f>IF(产品清单!B8="","",产品清单!B8)</f>
        <v/>
      </c>
      <c r="C8" s="2">
        <f>IF(产品清单!C8="","",产品清单!C8)</f>
        <v/>
      </c>
      <c r="D8" s="2">
        <f>IF($A8="","",IFERROR(AVERAGEIFS(场景记录!J:J,场景记录!B:B,$A8,场景记录!D:D,"空闲常驻"),""))</f>
        <v/>
      </c>
      <c r="E8" s="2">
        <f>IF($A8="","",IFERROR(AVERAGEIFS(场景记录!M:M,场景记录!B:B,$A8,场景记录!D:D,"空闲常驻"),""))</f>
        <v/>
      </c>
      <c r="F8" s="2">
        <f>IF($A8="","",IFERROR(MAXIFS(场景记录!P:P,场景记录!B:B,$A8),""))</f>
        <v/>
      </c>
      <c r="G8" s="2" t="inlineStr"/>
      <c r="H8" s="2" t="inlineStr"/>
      <c r="I8" s="2" t="inlineStr"/>
      <c r="J8" s="2">
        <f>IF($A8="","",IFERROR(AVERAGEIFS(场景记录!Z:Z,场景记录!B:B,$A8),""))</f>
        <v/>
      </c>
      <c r="K8" s="2" t="inlineStr"/>
      <c r="L8" s="2" t="inlineStr"/>
      <c r="M8" s="2">
        <f>IF($A8="","",IFERROR(ROUND(AVERAGE(I8:L8),1),""))</f>
        <v/>
      </c>
      <c r="N8" s="2">
        <f>IF(M8="","",IF(M8&gt;=4.2,"推荐",IF(M8&gt;=3.4,"可接受",IF(M8&gt;=2.6,"谨慎","不推荐"))))</f>
        <v/>
      </c>
      <c r="O8" s="2" t="inlineStr"/>
    </row>
    <row r="9" ht="28" customHeight="1">
      <c r="A9" s="2">
        <f>IF(产品清单!A9="","",产品清单!A9)</f>
        <v/>
      </c>
      <c r="B9" s="2">
        <f>IF(产品清单!B9="","",产品清单!B9)</f>
        <v/>
      </c>
      <c r="C9" s="2">
        <f>IF(产品清单!C9="","",产品清单!C9)</f>
        <v/>
      </c>
      <c r="D9" s="2">
        <f>IF($A9="","",IFERROR(AVERAGEIFS(场景记录!J:J,场景记录!B:B,$A9,场景记录!D:D,"空闲常驻"),""))</f>
        <v/>
      </c>
      <c r="E9" s="2">
        <f>IF($A9="","",IFERROR(AVERAGEIFS(场景记录!M:M,场景记录!B:B,$A9,场景记录!D:D,"空闲常驻"),""))</f>
        <v/>
      </c>
      <c r="F9" s="2">
        <f>IF($A9="","",IFERROR(MAXIFS(场景记录!P:P,场景记录!B:B,$A9),""))</f>
        <v/>
      </c>
      <c r="G9" s="2" t="inlineStr"/>
      <c r="H9" s="2" t="inlineStr"/>
      <c r="I9" s="2" t="inlineStr"/>
      <c r="J9" s="2">
        <f>IF($A9="","",IFERROR(AVERAGEIFS(场景记录!Z:Z,场景记录!B:B,$A9),""))</f>
        <v/>
      </c>
      <c r="K9" s="2" t="inlineStr"/>
      <c r="L9" s="2" t="inlineStr"/>
      <c r="M9" s="2">
        <f>IF($A9="","",IFERROR(ROUND(AVERAGE(I9:L9),1),""))</f>
        <v/>
      </c>
      <c r="N9" s="2">
        <f>IF(M9="","",IF(M9&gt;=4.2,"推荐",IF(M9&gt;=3.4,"可接受",IF(M9&gt;=2.6,"谨慎","不推荐"))))</f>
        <v/>
      </c>
      <c r="O9" s="2" t="inlineStr"/>
    </row>
    <row r="10" ht="28" customHeight="1">
      <c r="A10" s="2">
        <f>IF(产品清单!A10="","",产品清单!A10)</f>
        <v/>
      </c>
      <c r="B10" s="2">
        <f>IF(产品清单!B10="","",产品清单!B10)</f>
        <v/>
      </c>
      <c r="C10" s="2">
        <f>IF(产品清单!C10="","",产品清单!C10)</f>
        <v/>
      </c>
      <c r="D10" s="2">
        <f>IF($A10="","",IFERROR(AVERAGEIFS(场景记录!J:J,场景记录!B:B,$A10,场景记录!D:D,"空闲常驻"),""))</f>
        <v/>
      </c>
      <c r="E10" s="2">
        <f>IF($A10="","",IFERROR(AVERAGEIFS(场景记录!M:M,场景记录!B:B,$A10,场景记录!D:D,"空闲常驻"),""))</f>
        <v/>
      </c>
      <c r="F10" s="2">
        <f>IF($A10="","",IFERROR(MAXIFS(场景记录!P:P,场景记录!B:B,$A10),""))</f>
        <v/>
      </c>
      <c r="G10" s="2" t="inlineStr"/>
      <c r="H10" s="2" t="inlineStr"/>
      <c r="I10" s="2" t="inlineStr"/>
      <c r="J10" s="2">
        <f>IF($A10="","",IFERROR(AVERAGEIFS(场景记录!Z:Z,场景记录!B:B,$A10),""))</f>
        <v/>
      </c>
      <c r="K10" s="2" t="inlineStr"/>
      <c r="L10" s="2" t="inlineStr"/>
      <c r="M10" s="2">
        <f>IF($A10="","",IFERROR(ROUND(AVERAGE(I10:L10),1),""))</f>
        <v/>
      </c>
      <c r="N10" s="2">
        <f>IF(M10="","",IF(M10&gt;=4.2,"推荐",IF(M10&gt;=3.4,"可接受",IF(M10&gt;=2.6,"谨慎","不推荐"))))</f>
        <v/>
      </c>
      <c r="O10" s="2" t="inlineStr"/>
    </row>
    <row r="11" ht="28" customHeight="1">
      <c r="A11" s="2">
        <f>IF(产品清单!A11="","",产品清单!A11)</f>
        <v/>
      </c>
      <c r="B11" s="2">
        <f>IF(产品清单!B11="","",产品清单!B11)</f>
        <v/>
      </c>
      <c r="C11" s="2">
        <f>IF(产品清单!C11="","",产品清单!C11)</f>
        <v/>
      </c>
      <c r="D11" s="2">
        <f>IF($A11="","",IFERROR(AVERAGEIFS(场景记录!J:J,场景记录!B:B,$A11,场景记录!D:D,"空闲常驻"),""))</f>
        <v/>
      </c>
      <c r="E11" s="2">
        <f>IF($A11="","",IFERROR(AVERAGEIFS(场景记录!M:M,场景记录!B:B,$A11,场景记录!D:D,"空闲常驻"),""))</f>
        <v/>
      </c>
      <c r="F11" s="2">
        <f>IF($A11="","",IFERROR(MAXIFS(场景记录!P:P,场景记录!B:B,$A11),""))</f>
        <v/>
      </c>
      <c r="G11" s="2" t="inlineStr"/>
      <c r="H11" s="2" t="inlineStr"/>
      <c r="I11" s="2" t="inlineStr"/>
      <c r="J11" s="2">
        <f>IF($A11="","",IFERROR(AVERAGEIFS(场景记录!Z:Z,场景记录!B:B,$A11),""))</f>
        <v/>
      </c>
      <c r="K11" s="2" t="inlineStr"/>
      <c r="L11" s="2" t="inlineStr"/>
      <c r="M11" s="2">
        <f>IF($A11="","",IFERROR(ROUND(AVERAGE(I11:L11),1),""))</f>
        <v/>
      </c>
      <c r="N11" s="2">
        <f>IF(M11="","",IF(M11&gt;=4.2,"推荐",IF(M11&gt;=3.4,"可接受",IF(M11&gt;=2.6,"谨慎","不推荐"))))</f>
        <v/>
      </c>
      <c r="O11" s="2" t="inlineStr"/>
    </row>
    <row r="12" ht="28" customHeight="1">
      <c r="A12" s="2">
        <f>IF(产品清单!A12="","",产品清单!A12)</f>
        <v/>
      </c>
      <c r="B12" s="2">
        <f>IF(产品清单!B12="","",产品清单!B12)</f>
        <v/>
      </c>
      <c r="C12" s="2">
        <f>IF(产品清单!C12="","",产品清单!C12)</f>
        <v/>
      </c>
      <c r="D12" s="2">
        <f>IF($A12="","",IFERROR(AVERAGEIFS(场景记录!J:J,场景记录!B:B,$A12,场景记录!D:D,"空闲常驻"),""))</f>
        <v/>
      </c>
      <c r="E12" s="2">
        <f>IF($A12="","",IFERROR(AVERAGEIFS(场景记录!M:M,场景记录!B:B,$A12,场景记录!D:D,"空闲常驻"),""))</f>
        <v/>
      </c>
      <c r="F12" s="2">
        <f>IF($A12="","",IFERROR(MAXIFS(场景记录!P:P,场景记录!B:B,$A12),""))</f>
        <v/>
      </c>
      <c r="G12" s="2" t="inlineStr"/>
      <c r="H12" s="2" t="inlineStr"/>
      <c r="I12" s="2" t="inlineStr"/>
      <c r="J12" s="2">
        <f>IF($A12="","",IFERROR(AVERAGEIFS(场景记录!Z:Z,场景记录!B:B,$A12),""))</f>
        <v/>
      </c>
      <c r="K12" s="2" t="inlineStr"/>
      <c r="L12" s="2" t="inlineStr"/>
      <c r="M12" s="2">
        <f>IF($A12="","",IFERROR(ROUND(AVERAGE(I12:L12),1),""))</f>
        <v/>
      </c>
      <c r="N12" s="2">
        <f>IF(M12="","",IF(M12&gt;=4.2,"推荐",IF(M12&gt;=3.4,"可接受",IF(M12&gt;=2.6,"谨慎","不推荐"))))</f>
        <v/>
      </c>
      <c r="O12" s="2" t="inlineStr"/>
    </row>
    <row r="13" ht="28" customHeight="1">
      <c r="A13" s="2">
        <f>IF(产品清单!A13="","",产品清单!A13)</f>
        <v/>
      </c>
      <c r="B13" s="2">
        <f>IF(产品清单!B13="","",产品清单!B13)</f>
        <v/>
      </c>
      <c r="C13" s="2">
        <f>IF(产品清单!C13="","",产品清单!C13)</f>
        <v/>
      </c>
      <c r="D13" s="2">
        <f>IF($A13="","",IFERROR(AVERAGEIFS(场景记录!J:J,场景记录!B:B,$A13,场景记录!D:D,"空闲常驻"),""))</f>
        <v/>
      </c>
      <c r="E13" s="2">
        <f>IF($A13="","",IFERROR(AVERAGEIFS(场景记录!M:M,场景记录!B:B,$A13,场景记录!D:D,"空闲常驻"),""))</f>
        <v/>
      </c>
      <c r="F13" s="2">
        <f>IF($A13="","",IFERROR(MAXIFS(场景记录!P:P,场景记录!B:B,$A13),""))</f>
        <v/>
      </c>
      <c r="G13" s="2" t="inlineStr"/>
      <c r="H13" s="2" t="inlineStr"/>
      <c r="I13" s="2" t="inlineStr"/>
      <c r="J13" s="2">
        <f>IF($A13="","",IFERROR(AVERAGEIFS(场景记录!Z:Z,场景记录!B:B,$A13),""))</f>
        <v/>
      </c>
      <c r="K13" s="2" t="inlineStr"/>
      <c r="L13" s="2" t="inlineStr"/>
      <c r="M13" s="2">
        <f>IF($A13="","",IFERROR(ROUND(AVERAGE(I13:L13),1),""))</f>
        <v/>
      </c>
      <c r="N13" s="2">
        <f>IF(M13="","",IF(M13&gt;=4.2,"推荐",IF(M13&gt;=3.4,"可接受",IF(M13&gt;=2.6,"谨慎","不推荐"))))</f>
        <v/>
      </c>
      <c r="O13" s="2" t="inlineStr"/>
    </row>
    <row r="14" ht="28" customHeight="1">
      <c r="A14" s="2">
        <f>IF(产品清单!A14="","",产品清单!A14)</f>
        <v/>
      </c>
      <c r="B14" s="2">
        <f>IF(产品清单!B14="","",产品清单!B14)</f>
        <v/>
      </c>
      <c r="C14" s="2">
        <f>IF(产品清单!C14="","",产品清单!C14)</f>
        <v/>
      </c>
      <c r="D14" s="2">
        <f>IF($A14="","",IFERROR(AVERAGEIFS(场景记录!J:J,场景记录!B:B,$A14,场景记录!D:D,"空闲常驻"),""))</f>
        <v/>
      </c>
      <c r="E14" s="2">
        <f>IF($A14="","",IFERROR(AVERAGEIFS(场景记录!M:M,场景记录!B:B,$A14,场景记录!D:D,"空闲常驻"),""))</f>
        <v/>
      </c>
      <c r="F14" s="2">
        <f>IF($A14="","",IFERROR(MAXIFS(场景记录!P:P,场景记录!B:B,$A14),""))</f>
        <v/>
      </c>
      <c r="G14" s="2" t="inlineStr"/>
      <c r="H14" s="2" t="inlineStr"/>
      <c r="I14" s="2" t="inlineStr"/>
      <c r="J14" s="2">
        <f>IF($A14="","",IFERROR(AVERAGEIFS(场景记录!Z:Z,场景记录!B:B,$A14),""))</f>
        <v/>
      </c>
      <c r="K14" s="2" t="inlineStr"/>
      <c r="L14" s="2" t="inlineStr"/>
      <c r="M14" s="2">
        <f>IF($A14="","",IFERROR(ROUND(AVERAGE(I14:L14),1),""))</f>
        <v/>
      </c>
      <c r="N14" s="2">
        <f>IF(M14="","",IF(M14&gt;=4.2,"推荐",IF(M14&gt;=3.4,"可接受",IF(M14&gt;=2.6,"谨慎","不推荐"))))</f>
        <v/>
      </c>
      <c r="O14" s="2" t="inlineStr"/>
    </row>
    <row r="15" ht="28" customHeight="1">
      <c r="A15" s="2">
        <f>IF(产品清单!A15="","",产品清单!A15)</f>
        <v/>
      </c>
      <c r="B15" s="2">
        <f>IF(产品清单!B15="","",产品清单!B15)</f>
        <v/>
      </c>
      <c r="C15" s="2">
        <f>IF(产品清单!C15="","",产品清单!C15)</f>
        <v/>
      </c>
      <c r="D15" s="2">
        <f>IF($A15="","",IFERROR(AVERAGEIFS(场景记录!J:J,场景记录!B:B,$A15,场景记录!D:D,"空闲常驻"),""))</f>
        <v/>
      </c>
      <c r="E15" s="2">
        <f>IF($A15="","",IFERROR(AVERAGEIFS(场景记录!M:M,场景记录!B:B,$A15,场景记录!D:D,"空闲常驻"),""))</f>
        <v/>
      </c>
      <c r="F15" s="2">
        <f>IF($A15="","",IFERROR(MAXIFS(场景记录!P:P,场景记录!B:B,$A15),""))</f>
        <v/>
      </c>
      <c r="G15" s="2" t="inlineStr"/>
      <c r="H15" s="2" t="inlineStr"/>
      <c r="I15" s="2" t="inlineStr"/>
      <c r="J15" s="2">
        <f>IF($A15="","",IFERROR(AVERAGEIFS(场景记录!Z:Z,场景记录!B:B,$A15),""))</f>
        <v/>
      </c>
      <c r="K15" s="2" t="inlineStr"/>
      <c r="L15" s="2" t="inlineStr"/>
      <c r="M15" s="2">
        <f>IF($A15="","",IFERROR(ROUND(AVERAGE(I15:L15),1),""))</f>
        <v/>
      </c>
      <c r="N15" s="2">
        <f>IF(M15="","",IF(M15&gt;=4.2,"推荐",IF(M15&gt;=3.4,"可接受",IF(M15&gt;=2.6,"谨慎","不推荐"))))</f>
        <v/>
      </c>
      <c r="O15" s="2" t="inlineStr"/>
    </row>
    <row r="16" ht="28" customHeight="1">
      <c r="A16" s="2">
        <f>IF(产品清单!A16="","",产品清单!A16)</f>
        <v/>
      </c>
      <c r="B16" s="2">
        <f>IF(产品清单!B16="","",产品清单!B16)</f>
        <v/>
      </c>
      <c r="C16" s="2">
        <f>IF(产品清单!C16="","",产品清单!C16)</f>
        <v/>
      </c>
      <c r="D16" s="2">
        <f>IF($A16="","",IFERROR(AVERAGEIFS(场景记录!J:J,场景记录!B:B,$A16,场景记录!D:D,"空闲常驻"),""))</f>
        <v/>
      </c>
      <c r="E16" s="2">
        <f>IF($A16="","",IFERROR(AVERAGEIFS(场景记录!M:M,场景记录!B:B,$A16,场景记录!D:D,"空闲常驻"),""))</f>
        <v/>
      </c>
      <c r="F16" s="2">
        <f>IF($A16="","",IFERROR(MAXIFS(场景记录!P:P,场景记录!B:B,$A16),""))</f>
        <v/>
      </c>
      <c r="G16" s="2" t="inlineStr"/>
      <c r="H16" s="2" t="inlineStr"/>
      <c r="I16" s="2" t="inlineStr"/>
      <c r="J16" s="2">
        <f>IF($A16="","",IFERROR(AVERAGEIFS(场景记录!Z:Z,场景记录!B:B,$A16),""))</f>
        <v/>
      </c>
      <c r="K16" s="2" t="inlineStr"/>
      <c r="L16" s="2" t="inlineStr"/>
      <c r="M16" s="2">
        <f>IF($A16="","",IFERROR(ROUND(AVERAGE(I16:L16),1),""))</f>
        <v/>
      </c>
      <c r="N16" s="2">
        <f>IF(M16="","",IF(M16&gt;=4.2,"推荐",IF(M16&gt;=3.4,"可接受",IF(M16&gt;=2.6,"谨慎","不推荐"))))</f>
        <v/>
      </c>
      <c r="O16" s="2" t="inlineStr"/>
    </row>
    <row r="17" ht="28" customHeight="1">
      <c r="A17" s="2">
        <f>IF(产品清单!A17="","",产品清单!A17)</f>
        <v/>
      </c>
      <c r="B17" s="2">
        <f>IF(产品清单!B17="","",产品清单!B17)</f>
        <v/>
      </c>
      <c r="C17" s="2">
        <f>IF(产品清单!C17="","",产品清单!C17)</f>
        <v/>
      </c>
      <c r="D17" s="2">
        <f>IF($A17="","",IFERROR(AVERAGEIFS(场景记录!J:J,场景记录!B:B,$A17,场景记录!D:D,"空闲常驻"),""))</f>
        <v/>
      </c>
      <c r="E17" s="2">
        <f>IF($A17="","",IFERROR(AVERAGEIFS(场景记录!M:M,场景记录!B:B,$A17,场景记录!D:D,"空闲常驻"),""))</f>
        <v/>
      </c>
      <c r="F17" s="2">
        <f>IF($A17="","",IFERROR(MAXIFS(场景记录!P:P,场景记录!B:B,$A17),""))</f>
        <v/>
      </c>
      <c r="G17" s="2" t="inlineStr"/>
      <c r="H17" s="2" t="inlineStr"/>
      <c r="I17" s="2" t="inlineStr"/>
      <c r="J17" s="2">
        <f>IF($A17="","",IFERROR(AVERAGEIFS(场景记录!Z:Z,场景记录!B:B,$A17),""))</f>
        <v/>
      </c>
      <c r="K17" s="2" t="inlineStr"/>
      <c r="L17" s="2" t="inlineStr"/>
      <c r="M17" s="2">
        <f>IF($A17="","",IFERROR(ROUND(AVERAGE(I17:L17),1),""))</f>
        <v/>
      </c>
      <c r="N17" s="2">
        <f>IF(M17="","",IF(M17&gt;=4.2,"推荐",IF(M17&gt;=3.4,"可接受",IF(M17&gt;=2.6,"谨慎","不推荐"))))</f>
        <v/>
      </c>
      <c r="O17" s="2" t="inlineStr"/>
    </row>
    <row r="18" ht="28" customHeight="1">
      <c r="A18" s="2">
        <f>IF(产品清单!A18="","",产品清单!A18)</f>
        <v/>
      </c>
      <c r="B18" s="2">
        <f>IF(产品清单!B18="","",产品清单!B18)</f>
        <v/>
      </c>
      <c r="C18" s="2">
        <f>IF(产品清单!C18="","",产品清单!C18)</f>
        <v/>
      </c>
      <c r="D18" s="2">
        <f>IF($A18="","",IFERROR(AVERAGEIFS(场景记录!J:J,场景记录!B:B,$A18,场景记录!D:D,"空闲常驻"),""))</f>
        <v/>
      </c>
      <c r="E18" s="2">
        <f>IF($A18="","",IFERROR(AVERAGEIFS(场景记录!M:M,场景记录!B:B,$A18,场景记录!D:D,"空闲常驻"),""))</f>
        <v/>
      </c>
      <c r="F18" s="2">
        <f>IF($A18="","",IFERROR(MAXIFS(场景记录!P:P,场景记录!B:B,$A18),""))</f>
        <v/>
      </c>
      <c r="G18" s="2" t="inlineStr"/>
      <c r="H18" s="2" t="inlineStr"/>
      <c r="I18" s="2" t="inlineStr"/>
      <c r="J18" s="2">
        <f>IF($A18="","",IFERROR(AVERAGEIFS(场景记录!Z:Z,场景记录!B:B,$A18),""))</f>
        <v/>
      </c>
      <c r="K18" s="2" t="inlineStr"/>
      <c r="L18" s="2" t="inlineStr"/>
      <c r="M18" s="2">
        <f>IF($A18="","",IFERROR(ROUND(AVERAGE(I18:L18),1),""))</f>
        <v/>
      </c>
      <c r="N18" s="2">
        <f>IF(M18="","",IF(M18&gt;=4.2,"推荐",IF(M18&gt;=3.4,"可接受",IF(M18&gt;=2.6,"谨慎","不推荐"))))</f>
        <v/>
      </c>
      <c r="O18" s="2" t="inlineStr"/>
    </row>
    <row r="19" ht="28" customHeight="1">
      <c r="A19" s="2">
        <f>IF(产品清单!A19="","",产品清单!A19)</f>
        <v/>
      </c>
      <c r="B19" s="2">
        <f>IF(产品清单!B19="","",产品清单!B19)</f>
        <v/>
      </c>
      <c r="C19" s="2">
        <f>IF(产品清单!C19="","",产品清单!C19)</f>
        <v/>
      </c>
      <c r="D19" s="2">
        <f>IF($A19="","",IFERROR(AVERAGEIFS(场景记录!J:J,场景记录!B:B,$A19,场景记录!D:D,"空闲常驻"),""))</f>
        <v/>
      </c>
      <c r="E19" s="2">
        <f>IF($A19="","",IFERROR(AVERAGEIFS(场景记录!M:M,场景记录!B:B,$A19,场景记录!D:D,"空闲常驻"),""))</f>
        <v/>
      </c>
      <c r="F19" s="2">
        <f>IF($A19="","",IFERROR(MAXIFS(场景记录!P:P,场景记录!B:B,$A19),""))</f>
        <v/>
      </c>
      <c r="G19" s="2" t="inlineStr"/>
      <c r="H19" s="2" t="inlineStr"/>
      <c r="I19" s="2" t="inlineStr"/>
      <c r="J19" s="2">
        <f>IF($A19="","",IFERROR(AVERAGEIFS(场景记录!Z:Z,场景记录!B:B,$A19),""))</f>
        <v/>
      </c>
      <c r="K19" s="2" t="inlineStr"/>
      <c r="L19" s="2" t="inlineStr"/>
      <c r="M19" s="2">
        <f>IF($A19="","",IFERROR(ROUND(AVERAGE(I19:L19),1),""))</f>
        <v/>
      </c>
      <c r="N19" s="2">
        <f>IF(M19="","",IF(M19&gt;=4.2,"推荐",IF(M19&gt;=3.4,"可接受",IF(M19&gt;=2.6,"谨慎","不推荐"))))</f>
        <v/>
      </c>
      <c r="O19" s="2" t="inlineStr"/>
    </row>
    <row r="20" ht="28" customHeight="1">
      <c r="A20" s="2">
        <f>IF(产品清单!A20="","",产品清单!A20)</f>
        <v/>
      </c>
      <c r="B20" s="2">
        <f>IF(产品清单!B20="","",产品清单!B20)</f>
        <v/>
      </c>
      <c r="C20" s="2">
        <f>IF(产品清单!C20="","",产品清单!C20)</f>
        <v/>
      </c>
      <c r="D20" s="2">
        <f>IF($A20="","",IFERROR(AVERAGEIFS(场景记录!J:J,场景记录!B:B,$A20,场景记录!D:D,"空闲常驻"),""))</f>
        <v/>
      </c>
      <c r="E20" s="2">
        <f>IF($A20="","",IFERROR(AVERAGEIFS(场景记录!M:M,场景记录!B:B,$A20,场景记录!D:D,"空闲常驻"),""))</f>
        <v/>
      </c>
      <c r="F20" s="2">
        <f>IF($A20="","",IFERROR(MAXIFS(场景记录!P:P,场景记录!B:B,$A20),""))</f>
        <v/>
      </c>
      <c r="G20" s="2" t="inlineStr"/>
      <c r="H20" s="2" t="inlineStr"/>
      <c r="I20" s="2" t="inlineStr"/>
      <c r="J20" s="2">
        <f>IF($A20="","",IFERROR(AVERAGEIFS(场景记录!Z:Z,场景记录!B:B,$A20),""))</f>
        <v/>
      </c>
      <c r="K20" s="2" t="inlineStr"/>
      <c r="L20" s="2" t="inlineStr"/>
      <c r="M20" s="2">
        <f>IF($A20="","",IFERROR(ROUND(AVERAGE(I20:L20),1),""))</f>
        <v/>
      </c>
      <c r="N20" s="2">
        <f>IF(M20="","",IF(M20&gt;=4.2,"推荐",IF(M20&gt;=3.4,"可接受",IF(M20&gt;=2.6,"谨慎","不推荐"))))</f>
        <v/>
      </c>
      <c r="O20" s="2" t="inlineStr"/>
    </row>
    <row r="21" ht="28" customHeight="1">
      <c r="A21" s="2">
        <f>IF(产品清单!A21="","",产品清单!A21)</f>
        <v/>
      </c>
      <c r="B21" s="2">
        <f>IF(产品清单!B21="","",产品清单!B21)</f>
        <v/>
      </c>
      <c r="C21" s="2">
        <f>IF(产品清单!C21="","",产品清单!C21)</f>
        <v/>
      </c>
      <c r="D21" s="2">
        <f>IF($A21="","",IFERROR(AVERAGEIFS(场景记录!J:J,场景记录!B:B,$A21,场景记录!D:D,"空闲常驻"),""))</f>
        <v/>
      </c>
      <c r="E21" s="2">
        <f>IF($A21="","",IFERROR(AVERAGEIFS(场景记录!M:M,场景记录!B:B,$A21,场景记录!D:D,"空闲常驻"),""))</f>
        <v/>
      </c>
      <c r="F21" s="2">
        <f>IF($A21="","",IFERROR(MAXIFS(场景记录!P:P,场景记录!B:B,$A21),""))</f>
        <v/>
      </c>
      <c r="G21" s="2" t="inlineStr"/>
      <c r="H21" s="2" t="inlineStr"/>
      <c r="I21" s="2" t="inlineStr"/>
      <c r="J21" s="2">
        <f>IF($A21="","",IFERROR(AVERAGEIFS(场景记录!Z:Z,场景记录!B:B,$A21),""))</f>
        <v/>
      </c>
      <c r="K21" s="2" t="inlineStr"/>
      <c r="L21" s="2" t="inlineStr"/>
      <c r="M21" s="2">
        <f>IF($A21="","",IFERROR(ROUND(AVERAGE(I21:L21),1),""))</f>
        <v/>
      </c>
      <c r="N21" s="2">
        <f>IF(M21="","",IF(M21&gt;=4.2,"推荐",IF(M21&gt;=3.4,"可接受",IF(M21&gt;=2.6,"谨慎","不推荐"))))</f>
        <v/>
      </c>
      <c r="O21" s="2" t="inlineStr"/>
    </row>
    <row r="22" ht="28" customHeight="1">
      <c r="A22" s="2">
        <f>IF(产品清单!A22="","",产品清单!A22)</f>
        <v/>
      </c>
      <c r="B22" s="2">
        <f>IF(产品清单!B22="","",产品清单!B22)</f>
        <v/>
      </c>
      <c r="C22" s="2">
        <f>IF(产品清单!C22="","",产品清单!C22)</f>
        <v/>
      </c>
      <c r="D22" s="2">
        <f>IF($A22="","",IFERROR(AVERAGEIFS(场景记录!J:J,场景记录!B:B,$A22,场景记录!D:D,"空闲常驻"),""))</f>
        <v/>
      </c>
      <c r="E22" s="2">
        <f>IF($A22="","",IFERROR(AVERAGEIFS(场景记录!M:M,场景记录!B:B,$A22,场景记录!D:D,"空闲常驻"),""))</f>
        <v/>
      </c>
      <c r="F22" s="2">
        <f>IF($A22="","",IFERROR(MAXIFS(场景记录!P:P,场景记录!B:B,$A22),""))</f>
        <v/>
      </c>
      <c r="G22" s="2" t="inlineStr"/>
      <c r="H22" s="2" t="inlineStr"/>
      <c r="I22" s="2" t="inlineStr"/>
      <c r="J22" s="2">
        <f>IF($A22="","",IFERROR(AVERAGEIFS(场景记录!Z:Z,场景记录!B:B,$A22),""))</f>
        <v/>
      </c>
      <c r="K22" s="2" t="inlineStr"/>
      <c r="L22" s="2" t="inlineStr"/>
      <c r="M22" s="2">
        <f>IF($A22="","",IFERROR(ROUND(AVERAGE(I22:L22),1),""))</f>
        <v/>
      </c>
      <c r="N22" s="2">
        <f>IF(M22="","",IF(M22&gt;=4.2,"推荐",IF(M22&gt;=3.4,"可接受",IF(M22&gt;=2.6,"谨慎","不推荐"))))</f>
        <v/>
      </c>
      <c r="O22" s="2" t="inlineStr"/>
    </row>
    <row r="23" ht="28" customHeight="1">
      <c r="A23" s="2">
        <f>IF(产品清单!A23="","",产品清单!A23)</f>
        <v/>
      </c>
      <c r="B23" s="2">
        <f>IF(产品清单!B23="","",产品清单!B23)</f>
        <v/>
      </c>
      <c r="C23" s="2">
        <f>IF(产品清单!C23="","",产品清单!C23)</f>
        <v/>
      </c>
      <c r="D23" s="2">
        <f>IF($A23="","",IFERROR(AVERAGEIFS(场景记录!J:J,场景记录!B:B,$A23,场景记录!D:D,"空闲常驻"),""))</f>
        <v/>
      </c>
      <c r="E23" s="2">
        <f>IF($A23="","",IFERROR(AVERAGEIFS(场景记录!M:M,场景记录!B:B,$A23,场景记录!D:D,"空闲常驻"),""))</f>
        <v/>
      </c>
      <c r="F23" s="2">
        <f>IF($A23="","",IFERROR(MAXIFS(场景记录!P:P,场景记录!B:B,$A23),""))</f>
        <v/>
      </c>
      <c r="G23" s="2" t="inlineStr"/>
      <c r="H23" s="2" t="inlineStr"/>
      <c r="I23" s="2" t="inlineStr"/>
      <c r="J23" s="2">
        <f>IF($A23="","",IFERROR(AVERAGEIFS(场景记录!Z:Z,场景记录!B:B,$A23),""))</f>
        <v/>
      </c>
      <c r="K23" s="2" t="inlineStr"/>
      <c r="L23" s="2" t="inlineStr"/>
      <c r="M23" s="2">
        <f>IF($A23="","",IFERROR(ROUND(AVERAGE(I23:L23),1),""))</f>
        <v/>
      </c>
      <c r="N23" s="2">
        <f>IF(M23="","",IF(M23&gt;=4.2,"推荐",IF(M23&gt;=3.4,"可接受",IF(M23&gt;=2.6,"谨慎","不推荐"))))</f>
        <v/>
      </c>
      <c r="O23" s="2" t="inlineStr"/>
    </row>
    <row r="24" ht="28" customHeight="1">
      <c r="A24" s="2">
        <f>IF(产品清单!A24="","",产品清单!A24)</f>
        <v/>
      </c>
      <c r="B24" s="2">
        <f>IF(产品清单!B24="","",产品清单!B24)</f>
        <v/>
      </c>
      <c r="C24" s="2">
        <f>IF(产品清单!C24="","",产品清单!C24)</f>
        <v/>
      </c>
      <c r="D24" s="2">
        <f>IF($A24="","",IFERROR(AVERAGEIFS(场景记录!J:J,场景记录!B:B,$A24,场景记录!D:D,"空闲常驻"),""))</f>
        <v/>
      </c>
      <c r="E24" s="2">
        <f>IF($A24="","",IFERROR(AVERAGEIFS(场景记录!M:M,场景记录!B:B,$A24,场景记录!D:D,"空闲常驻"),""))</f>
        <v/>
      </c>
      <c r="F24" s="2">
        <f>IF($A24="","",IFERROR(MAXIFS(场景记录!P:P,场景记录!B:B,$A24),""))</f>
        <v/>
      </c>
      <c r="G24" s="2" t="inlineStr"/>
      <c r="H24" s="2" t="inlineStr"/>
      <c r="I24" s="2" t="inlineStr"/>
      <c r="J24" s="2">
        <f>IF($A24="","",IFERROR(AVERAGEIFS(场景记录!Z:Z,场景记录!B:B,$A24),""))</f>
        <v/>
      </c>
      <c r="K24" s="2" t="inlineStr"/>
      <c r="L24" s="2" t="inlineStr"/>
      <c r="M24" s="2">
        <f>IF($A24="","",IFERROR(ROUND(AVERAGE(I24:L24),1),""))</f>
        <v/>
      </c>
      <c r="N24" s="2">
        <f>IF(M24="","",IF(M24&gt;=4.2,"推荐",IF(M24&gt;=3.4,"可接受",IF(M24&gt;=2.6,"谨慎","不推荐"))))</f>
        <v/>
      </c>
      <c r="O24" s="2" t="inlineStr"/>
    </row>
    <row r="25" ht="28" customHeight="1">
      <c r="A25" s="2">
        <f>IF(产品清单!A25="","",产品清单!A25)</f>
        <v/>
      </c>
      <c r="B25" s="2">
        <f>IF(产品清单!B25="","",产品清单!B25)</f>
        <v/>
      </c>
      <c r="C25" s="2">
        <f>IF(产品清单!C25="","",产品清单!C25)</f>
        <v/>
      </c>
      <c r="D25" s="2">
        <f>IF($A25="","",IFERROR(AVERAGEIFS(场景记录!J:J,场景记录!B:B,$A25,场景记录!D:D,"空闲常驻"),""))</f>
        <v/>
      </c>
      <c r="E25" s="2">
        <f>IF($A25="","",IFERROR(AVERAGEIFS(场景记录!M:M,场景记录!B:B,$A25,场景记录!D:D,"空闲常驻"),""))</f>
        <v/>
      </c>
      <c r="F25" s="2">
        <f>IF($A25="","",IFERROR(MAXIFS(场景记录!P:P,场景记录!B:B,$A25),""))</f>
        <v/>
      </c>
      <c r="G25" s="2" t="inlineStr"/>
      <c r="H25" s="2" t="inlineStr"/>
      <c r="I25" s="2" t="inlineStr"/>
      <c r="J25" s="2">
        <f>IF($A25="","",IFERROR(AVERAGEIFS(场景记录!Z:Z,场景记录!B:B,$A25),""))</f>
        <v/>
      </c>
      <c r="K25" s="2" t="inlineStr"/>
      <c r="L25" s="2" t="inlineStr"/>
      <c r="M25" s="2">
        <f>IF($A25="","",IFERROR(ROUND(AVERAGE(I25:L25),1),""))</f>
        <v/>
      </c>
      <c r="N25" s="2">
        <f>IF(M25="","",IF(M25&gt;=4.2,"推荐",IF(M25&gt;=3.4,"可接受",IF(M25&gt;=2.6,"谨慎","不推荐"))))</f>
        <v/>
      </c>
      <c r="O25" s="2" t="inlineStr"/>
    </row>
    <row r="26" ht="28" customHeight="1">
      <c r="A26" s="2">
        <f>IF(产品清单!A26="","",产品清单!A26)</f>
        <v/>
      </c>
      <c r="B26" s="2">
        <f>IF(产品清单!B26="","",产品清单!B26)</f>
        <v/>
      </c>
      <c r="C26" s="2">
        <f>IF(产品清单!C26="","",产品清单!C26)</f>
        <v/>
      </c>
      <c r="D26" s="2">
        <f>IF($A26="","",IFERROR(AVERAGEIFS(场景记录!J:J,场景记录!B:B,$A26,场景记录!D:D,"空闲常驻"),""))</f>
        <v/>
      </c>
      <c r="E26" s="2">
        <f>IF($A26="","",IFERROR(AVERAGEIFS(场景记录!M:M,场景记录!B:B,$A26,场景记录!D:D,"空闲常驻"),""))</f>
        <v/>
      </c>
      <c r="F26" s="2">
        <f>IF($A26="","",IFERROR(MAXIFS(场景记录!P:P,场景记录!B:B,$A26),""))</f>
        <v/>
      </c>
      <c r="G26" s="2" t="inlineStr"/>
      <c r="H26" s="2" t="inlineStr"/>
      <c r="I26" s="2" t="inlineStr"/>
      <c r="J26" s="2">
        <f>IF($A26="","",IFERROR(AVERAGEIFS(场景记录!Z:Z,场景记录!B:B,$A26),""))</f>
        <v/>
      </c>
      <c r="K26" s="2" t="inlineStr"/>
      <c r="L26" s="2" t="inlineStr"/>
      <c r="M26" s="2">
        <f>IF($A26="","",IFERROR(ROUND(AVERAGE(I26:L26),1),""))</f>
        <v/>
      </c>
      <c r="N26" s="2">
        <f>IF(M26="","",IF(M26&gt;=4.2,"推荐",IF(M26&gt;=3.4,"可接受",IF(M26&gt;=2.6,"谨慎","不推荐"))))</f>
        <v/>
      </c>
      <c r="O26" s="2" t="inlineStr"/>
    </row>
    <row r="27" ht="28" customHeight="1">
      <c r="A27" s="2">
        <f>IF(产品清单!A27="","",产品清单!A27)</f>
        <v/>
      </c>
      <c r="B27" s="2">
        <f>IF(产品清单!B27="","",产品清单!B27)</f>
        <v/>
      </c>
      <c r="C27" s="2">
        <f>IF(产品清单!C27="","",产品清单!C27)</f>
        <v/>
      </c>
      <c r="D27" s="2">
        <f>IF($A27="","",IFERROR(AVERAGEIFS(场景记录!J:J,场景记录!B:B,$A27,场景记录!D:D,"空闲常驻"),""))</f>
        <v/>
      </c>
      <c r="E27" s="2">
        <f>IF($A27="","",IFERROR(AVERAGEIFS(场景记录!M:M,场景记录!B:B,$A27,场景记录!D:D,"空闲常驻"),""))</f>
        <v/>
      </c>
      <c r="F27" s="2">
        <f>IF($A27="","",IFERROR(MAXIFS(场景记录!P:P,场景记录!B:B,$A27),""))</f>
        <v/>
      </c>
      <c r="G27" s="2" t="inlineStr"/>
      <c r="H27" s="2" t="inlineStr"/>
      <c r="I27" s="2" t="inlineStr"/>
      <c r="J27" s="2">
        <f>IF($A27="","",IFERROR(AVERAGEIFS(场景记录!Z:Z,场景记录!B:B,$A27),""))</f>
        <v/>
      </c>
      <c r="K27" s="2" t="inlineStr"/>
      <c r="L27" s="2" t="inlineStr"/>
      <c r="M27" s="2">
        <f>IF($A27="","",IFERROR(ROUND(AVERAGE(I27:L27),1),""))</f>
        <v/>
      </c>
      <c r="N27" s="2">
        <f>IF(M27="","",IF(M27&gt;=4.2,"推荐",IF(M27&gt;=3.4,"可接受",IF(M27&gt;=2.6,"谨慎","不推荐"))))</f>
        <v/>
      </c>
      <c r="O27" s="2" t="inlineStr"/>
    </row>
    <row r="28" ht="28" customHeight="1">
      <c r="A28" s="2">
        <f>IF(产品清单!A28="","",产品清单!A28)</f>
        <v/>
      </c>
      <c r="B28" s="2">
        <f>IF(产品清单!B28="","",产品清单!B28)</f>
        <v/>
      </c>
      <c r="C28" s="2">
        <f>IF(产品清单!C28="","",产品清单!C28)</f>
        <v/>
      </c>
      <c r="D28" s="2">
        <f>IF($A28="","",IFERROR(AVERAGEIFS(场景记录!J:J,场景记录!B:B,$A28,场景记录!D:D,"空闲常驻"),""))</f>
        <v/>
      </c>
      <c r="E28" s="2">
        <f>IF($A28="","",IFERROR(AVERAGEIFS(场景记录!M:M,场景记录!B:B,$A28,场景记录!D:D,"空闲常驻"),""))</f>
        <v/>
      </c>
      <c r="F28" s="2">
        <f>IF($A28="","",IFERROR(MAXIFS(场景记录!P:P,场景记录!B:B,$A28),""))</f>
        <v/>
      </c>
      <c r="G28" s="2" t="inlineStr"/>
      <c r="H28" s="2" t="inlineStr"/>
      <c r="I28" s="2" t="inlineStr"/>
      <c r="J28" s="2">
        <f>IF($A28="","",IFERROR(AVERAGEIFS(场景记录!Z:Z,场景记录!B:B,$A28),""))</f>
        <v/>
      </c>
      <c r="K28" s="2" t="inlineStr"/>
      <c r="L28" s="2" t="inlineStr"/>
      <c r="M28" s="2">
        <f>IF($A28="","",IFERROR(ROUND(AVERAGE(I28:L28),1),""))</f>
        <v/>
      </c>
      <c r="N28" s="2">
        <f>IF(M28="","",IF(M28&gt;=4.2,"推荐",IF(M28&gt;=3.4,"可接受",IF(M28&gt;=2.6,"谨慎","不推荐"))))</f>
        <v/>
      </c>
      <c r="O28" s="2" t="inlineStr"/>
    </row>
    <row r="29" ht="28" customHeight="1">
      <c r="A29" s="2">
        <f>IF(产品清单!A29="","",产品清单!A29)</f>
        <v/>
      </c>
      <c r="B29" s="2">
        <f>IF(产品清单!B29="","",产品清单!B29)</f>
        <v/>
      </c>
      <c r="C29" s="2">
        <f>IF(产品清单!C29="","",产品清单!C29)</f>
        <v/>
      </c>
      <c r="D29" s="2">
        <f>IF($A29="","",IFERROR(AVERAGEIFS(场景记录!J:J,场景记录!B:B,$A29,场景记录!D:D,"空闲常驻"),""))</f>
        <v/>
      </c>
      <c r="E29" s="2">
        <f>IF($A29="","",IFERROR(AVERAGEIFS(场景记录!M:M,场景记录!B:B,$A29,场景记录!D:D,"空闲常驻"),""))</f>
        <v/>
      </c>
      <c r="F29" s="2">
        <f>IF($A29="","",IFERROR(MAXIFS(场景记录!P:P,场景记录!B:B,$A29),""))</f>
        <v/>
      </c>
      <c r="G29" s="2" t="inlineStr"/>
      <c r="H29" s="2" t="inlineStr"/>
      <c r="I29" s="2" t="inlineStr"/>
      <c r="J29" s="2">
        <f>IF($A29="","",IFERROR(AVERAGEIFS(场景记录!Z:Z,场景记录!B:B,$A29),""))</f>
        <v/>
      </c>
      <c r="K29" s="2" t="inlineStr"/>
      <c r="L29" s="2" t="inlineStr"/>
      <c r="M29" s="2">
        <f>IF($A29="","",IFERROR(ROUND(AVERAGE(I29:L29),1),""))</f>
        <v/>
      </c>
      <c r="N29" s="2">
        <f>IF(M29="","",IF(M29&gt;=4.2,"推荐",IF(M29&gt;=3.4,"可接受",IF(M29&gt;=2.6,"谨慎","不推荐"))))</f>
        <v/>
      </c>
      <c r="O29" s="2" t="inlineStr"/>
    </row>
    <row r="30" ht="28" customHeight="1">
      <c r="A30" s="2">
        <f>IF(产品清单!A30="","",产品清单!A30)</f>
        <v/>
      </c>
      <c r="B30" s="2">
        <f>IF(产品清单!B30="","",产品清单!B30)</f>
        <v/>
      </c>
      <c r="C30" s="2">
        <f>IF(产品清单!C30="","",产品清单!C30)</f>
        <v/>
      </c>
      <c r="D30" s="2">
        <f>IF($A30="","",IFERROR(AVERAGEIFS(场景记录!J:J,场景记录!B:B,$A30,场景记录!D:D,"空闲常驻"),""))</f>
        <v/>
      </c>
      <c r="E30" s="2">
        <f>IF($A30="","",IFERROR(AVERAGEIFS(场景记录!M:M,场景记录!B:B,$A30,场景记录!D:D,"空闲常驻"),""))</f>
        <v/>
      </c>
      <c r="F30" s="2">
        <f>IF($A30="","",IFERROR(MAXIFS(场景记录!P:P,场景记录!B:B,$A30),""))</f>
        <v/>
      </c>
      <c r="G30" s="2" t="inlineStr"/>
      <c r="H30" s="2" t="inlineStr"/>
      <c r="I30" s="2" t="inlineStr"/>
      <c r="J30" s="2">
        <f>IF($A30="","",IFERROR(AVERAGEIFS(场景记录!Z:Z,场景记录!B:B,$A30),""))</f>
        <v/>
      </c>
      <c r="K30" s="2" t="inlineStr"/>
      <c r="L30" s="2" t="inlineStr"/>
      <c r="M30" s="2">
        <f>IF($A30="","",IFERROR(ROUND(AVERAGE(I30:L30),1),""))</f>
        <v/>
      </c>
      <c r="N30" s="2">
        <f>IF(M30="","",IF(M30&gt;=4.2,"推荐",IF(M30&gt;=3.4,"可接受",IF(M30&gt;=2.6,"谨慎","不推荐"))))</f>
        <v/>
      </c>
      <c r="O30" s="2" t="inlineStr"/>
    </row>
    <row r="31" ht="28" customHeight="1">
      <c r="A31" s="2">
        <f>IF(产品清单!A31="","",产品清单!A31)</f>
        <v/>
      </c>
      <c r="B31" s="2">
        <f>IF(产品清单!B31="","",产品清单!B31)</f>
        <v/>
      </c>
      <c r="C31" s="2">
        <f>IF(产品清单!C31="","",产品清单!C31)</f>
        <v/>
      </c>
      <c r="D31" s="2">
        <f>IF($A31="","",IFERROR(AVERAGEIFS(场景记录!J:J,场景记录!B:B,$A31,场景记录!D:D,"空闲常驻"),""))</f>
        <v/>
      </c>
      <c r="E31" s="2">
        <f>IF($A31="","",IFERROR(AVERAGEIFS(场景记录!M:M,场景记录!B:B,$A31,场景记录!D:D,"空闲常驻"),""))</f>
        <v/>
      </c>
      <c r="F31" s="2">
        <f>IF($A31="","",IFERROR(MAXIFS(场景记录!P:P,场景记录!B:B,$A31),""))</f>
        <v/>
      </c>
      <c r="G31" s="2" t="inlineStr"/>
      <c r="H31" s="2" t="inlineStr"/>
      <c r="I31" s="2" t="inlineStr"/>
      <c r="J31" s="2">
        <f>IF($A31="","",IFERROR(AVERAGEIFS(场景记录!Z:Z,场景记录!B:B,$A31),""))</f>
        <v/>
      </c>
      <c r="K31" s="2" t="inlineStr"/>
      <c r="L31" s="2" t="inlineStr"/>
      <c r="M31" s="2">
        <f>IF($A31="","",IFERROR(ROUND(AVERAGE(I31:L31),1),""))</f>
        <v/>
      </c>
      <c r="N31" s="2">
        <f>IF(M31="","",IF(M31&gt;=4.2,"推荐",IF(M31&gt;=3.4,"可接受",IF(M31&gt;=2.6,"谨慎","不推荐"))))</f>
        <v/>
      </c>
      <c r="O31" s="2" t="inlineStr"/>
    </row>
    <row r="32" ht="28" customHeight="1">
      <c r="A32" s="2">
        <f>IF(产品清单!A32="","",产品清单!A32)</f>
        <v/>
      </c>
      <c r="B32" s="2">
        <f>IF(产品清单!B32="","",产品清单!B32)</f>
        <v/>
      </c>
      <c r="C32" s="2">
        <f>IF(产品清单!C32="","",产品清单!C32)</f>
        <v/>
      </c>
      <c r="D32" s="2">
        <f>IF($A32="","",IFERROR(AVERAGEIFS(场景记录!J:J,场景记录!B:B,$A32,场景记录!D:D,"空闲常驻"),""))</f>
        <v/>
      </c>
      <c r="E32" s="2">
        <f>IF($A32="","",IFERROR(AVERAGEIFS(场景记录!M:M,场景记录!B:B,$A32,场景记录!D:D,"空闲常驻"),""))</f>
        <v/>
      </c>
      <c r="F32" s="2">
        <f>IF($A32="","",IFERROR(MAXIFS(场景记录!P:P,场景记录!B:B,$A32),""))</f>
        <v/>
      </c>
      <c r="G32" s="2" t="inlineStr"/>
      <c r="H32" s="2" t="inlineStr"/>
      <c r="I32" s="2" t="inlineStr"/>
      <c r="J32" s="2">
        <f>IF($A32="","",IFERROR(AVERAGEIFS(场景记录!Z:Z,场景记录!B:B,$A32),""))</f>
        <v/>
      </c>
      <c r="K32" s="2" t="inlineStr"/>
      <c r="L32" s="2" t="inlineStr"/>
      <c r="M32" s="2">
        <f>IF($A32="","",IFERROR(ROUND(AVERAGE(I32:L32),1),""))</f>
        <v/>
      </c>
      <c r="N32" s="2">
        <f>IF(M32="","",IF(M32&gt;=4.2,"推荐",IF(M32&gt;=3.4,"可接受",IF(M32&gt;=2.6,"谨慎","不推荐"))))</f>
        <v/>
      </c>
      <c r="O32" s="2" t="inlineStr"/>
    </row>
    <row r="33" ht="28" customHeight="1">
      <c r="A33" s="2">
        <f>IF(产品清单!A33="","",产品清单!A33)</f>
        <v/>
      </c>
      <c r="B33" s="2">
        <f>IF(产品清单!B33="","",产品清单!B33)</f>
        <v/>
      </c>
      <c r="C33" s="2">
        <f>IF(产品清单!C33="","",产品清单!C33)</f>
        <v/>
      </c>
      <c r="D33" s="2">
        <f>IF($A33="","",IFERROR(AVERAGEIFS(场景记录!J:J,场景记录!B:B,$A33,场景记录!D:D,"空闲常驻"),""))</f>
        <v/>
      </c>
      <c r="E33" s="2">
        <f>IF($A33="","",IFERROR(AVERAGEIFS(场景记录!M:M,场景记录!B:B,$A33,场景记录!D:D,"空闲常驻"),""))</f>
        <v/>
      </c>
      <c r="F33" s="2">
        <f>IF($A33="","",IFERROR(MAXIFS(场景记录!P:P,场景记录!B:B,$A33),""))</f>
        <v/>
      </c>
      <c r="G33" s="2" t="inlineStr"/>
      <c r="H33" s="2" t="inlineStr"/>
      <c r="I33" s="2" t="inlineStr"/>
      <c r="J33" s="2">
        <f>IF($A33="","",IFERROR(AVERAGEIFS(场景记录!Z:Z,场景记录!B:B,$A33),""))</f>
        <v/>
      </c>
      <c r="K33" s="2" t="inlineStr"/>
      <c r="L33" s="2" t="inlineStr"/>
      <c r="M33" s="2">
        <f>IF($A33="","",IFERROR(ROUND(AVERAGE(I33:L33),1),""))</f>
        <v/>
      </c>
      <c r="N33" s="2">
        <f>IF(M33="","",IF(M33&gt;=4.2,"推荐",IF(M33&gt;=3.4,"可接受",IF(M33&gt;=2.6,"谨慎","不推荐"))))</f>
        <v/>
      </c>
      <c r="O33" s="2" t="inlineStr"/>
    </row>
    <row r="34" ht="28" customHeight="1">
      <c r="A34" s="2">
        <f>IF(产品清单!A34="","",产品清单!A34)</f>
        <v/>
      </c>
      <c r="B34" s="2">
        <f>IF(产品清单!B34="","",产品清单!B34)</f>
        <v/>
      </c>
      <c r="C34" s="2">
        <f>IF(产品清单!C34="","",产品清单!C34)</f>
        <v/>
      </c>
      <c r="D34" s="2">
        <f>IF($A34="","",IFERROR(AVERAGEIFS(场景记录!J:J,场景记录!B:B,$A34,场景记录!D:D,"空闲常驻"),""))</f>
        <v/>
      </c>
      <c r="E34" s="2">
        <f>IF($A34="","",IFERROR(AVERAGEIFS(场景记录!M:M,场景记录!B:B,$A34,场景记录!D:D,"空闲常驻"),""))</f>
        <v/>
      </c>
      <c r="F34" s="2">
        <f>IF($A34="","",IFERROR(MAXIFS(场景记录!P:P,场景记录!B:B,$A34),""))</f>
        <v/>
      </c>
      <c r="G34" s="2" t="inlineStr"/>
      <c r="H34" s="2" t="inlineStr"/>
      <c r="I34" s="2" t="inlineStr"/>
      <c r="J34" s="2">
        <f>IF($A34="","",IFERROR(AVERAGEIFS(场景记录!Z:Z,场景记录!B:B,$A34),""))</f>
        <v/>
      </c>
      <c r="K34" s="2" t="inlineStr"/>
      <c r="L34" s="2" t="inlineStr"/>
      <c r="M34" s="2">
        <f>IF($A34="","",IFERROR(ROUND(AVERAGE(I34:L34),1),""))</f>
        <v/>
      </c>
      <c r="N34" s="2">
        <f>IF(M34="","",IF(M34&gt;=4.2,"推荐",IF(M34&gt;=3.4,"可接受",IF(M34&gt;=2.6,"谨慎","不推荐"))))</f>
        <v/>
      </c>
      <c r="O34" s="2" t="inlineStr"/>
    </row>
    <row r="35" ht="28" customHeight="1">
      <c r="A35" s="2">
        <f>IF(产品清单!A35="","",产品清单!A35)</f>
        <v/>
      </c>
      <c r="B35" s="2">
        <f>IF(产品清单!B35="","",产品清单!B35)</f>
        <v/>
      </c>
      <c r="C35" s="2">
        <f>IF(产品清单!C35="","",产品清单!C35)</f>
        <v/>
      </c>
      <c r="D35" s="2">
        <f>IF($A35="","",IFERROR(AVERAGEIFS(场景记录!J:J,场景记录!B:B,$A35,场景记录!D:D,"空闲常驻"),""))</f>
        <v/>
      </c>
      <c r="E35" s="2">
        <f>IF($A35="","",IFERROR(AVERAGEIFS(场景记录!M:M,场景记录!B:B,$A35,场景记录!D:D,"空闲常驻"),""))</f>
        <v/>
      </c>
      <c r="F35" s="2">
        <f>IF($A35="","",IFERROR(MAXIFS(场景记录!P:P,场景记录!B:B,$A35),""))</f>
        <v/>
      </c>
      <c r="G35" s="2" t="inlineStr"/>
      <c r="H35" s="2" t="inlineStr"/>
      <c r="I35" s="2" t="inlineStr"/>
      <c r="J35" s="2">
        <f>IF($A35="","",IFERROR(AVERAGEIFS(场景记录!Z:Z,场景记录!B:B,$A35),""))</f>
        <v/>
      </c>
      <c r="K35" s="2" t="inlineStr"/>
      <c r="L35" s="2" t="inlineStr"/>
      <c r="M35" s="2">
        <f>IF($A35="","",IFERROR(ROUND(AVERAGE(I35:L35),1),""))</f>
        <v/>
      </c>
      <c r="N35" s="2">
        <f>IF(M35="","",IF(M35&gt;=4.2,"推荐",IF(M35&gt;=3.4,"可接受",IF(M35&gt;=2.6,"谨慎","不推荐"))))</f>
        <v/>
      </c>
      <c r="O35" s="2" t="inlineStr"/>
    </row>
    <row r="36" ht="28" customHeight="1">
      <c r="A36" s="2">
        <f>IF(产品清单!A36="","",产品清单!A36)</f>
        <v/>
      </c>
      <c r="B36" s="2">
        <f>IF(产品清单!B36="","",产品清单!B36)</f>
        <v/>
      </c>
      <c r="C36" s="2">
        <f>IF(产品清单!C36="","",产品清单!C36)</f>
        <v/>
      </c>
      <c r="D36" s="2">
        <f>IF($A36="","",IFERROR(AVERAGEIFS(场景记录!J:J,场景记录!B:B,$A36,场景记录!D:D,"空闲常驻"),""))</f>
        <v/>
      </c>
      <c r="E36" s="2">
        <f>IF($A36="","",IFERROR(AVERAGEIFS(场景记录!M:M,场景记录!B:B,$A36,场景记录!D:D,"空闲常驻"),""))</f>
        <v/>
      </c>
      <c r="F36" s="2">
        <f>IF($A36="","",IFERROR(MAXIFS(场景记录!P:P,场景记录!B:B,$A36),""))</f>
        <v/>
      </c>
      <c r="G36" s="2" t="inlineStr"/>
      <c r="H36" s="2" t="inlineStr"/>
      <c r="I36" s="2" t="inlineStr"/>
      <c r="J36" s="2">
        <f>IF($A36="","",IFERROR(AVERAGEIFS(场景记录!Z:Z,场景记录!B:B,$A36),""))</f>
        <v/>
      </c>
      <c r="K36" s="2" t="inlineStr"/>
      <c r="L36" s="2" t="inlineStr"/>
      <c r="M36" s="2">
        <f>IF($A36="","",IFERROR(ROUND(AVERAGE(I36:L36),1),""))</f>
        <v/>
      </c>
      <c r="N36" s="2">
        <f>IF(M36="","",IF(M36&gt;=4.2,"推荐",IF(M36&gt;=3.4,"可接受",IF(M36&gt;=2.6,"谨慎","不推荐"))))</f>
        <v/>
      </c>
      <c r="O36" s="2" t="inlineStr"/>
    </row>
    <row r="37" ht="28" customHeight="1">
      <c r="A37" s="2">
        <f>IF(产品清单!A37="","",产品清单!A37)</f>
        <v/>
      </c>
      <c r="B37" s="2">
        <f>IF(产品清单!B37="","",产品清单!B37)</f>
        <v/>
      </c>
      <c r="C37" s="2">
        <f>IF(产品清单!C37="","",产品清单!C37)</f>
        <v/>
      </c>
      <c r="D37" s="2">
        <f>IF($A37="","",IFERROR(AVERAGEIFS(场景记录!J:J,场景记录!B:B,$A37,场景记录!D:D,"空闲常驻"),""))</f>
        <v/>
      </c>
      <c r="E37" s="2">
        <f>IF($A37="","",IFERROR(AVERAGEIFS(场景记录!M:M,场景记录!B:B,$A37,场景记录!D:D,"空闲常驻"),""))</f>
        <v/>
      </c>
      <c r="F37" s="2">
        <f>IF($A37="","",IFERROR(MAXIFS(场景记录!P:P,场景记录!B:B,$A37),""))</f>
        <v/>
      </c>
      <c r="G37" s="2" t="inlineStr"/>
      <c r="H37" s="2" t="inlineStr"/>
      <c r="I37" s="2" t="inlineStr"/>
      <c r="J37" s="2">
        <f>IF($A37="","",IFERROR(AVERAGEIFS(场景记录!Z:Z,场景记录!B:B,$A37),""))</f>
        <v/>
      </c>
      <c r="K37" s="2" t="inlineStr"/>
      <c r="L37" s="2" t="inlineStr"/>
      <c r="M37" s="2">
        <f>IF($A37="","",IFERROR(ROUND(AVERAGE(I37:L37),1),""))</f>
        <v/>
      </c>
      <c r="N37" s="2">
        <f>IF(M37="","",IF(M37&gt;=4.2,"推荐",IF(M37&gt;=3.4,"可接受",IF(M37&gt;=2.6,"谨慎","不推荐"))))</f>
        <v/>
      </c>
      <c r="O37" s="2" t="inlineStr"/>
    </row>
    <row r="38" ht="28" customHeight="1">
      <c r="A38" s="2">
        <f>IF(产品清单!A38="","",产品清单!A38)</f>
        <v/>
      </c>
      <c r="B38" s="2">
        <f>IF(产品清单!B38="","",产品清单!B38)</f>
        <v/>
      </c>
      <c r="C38" s="2">
        <f>IF(产品清单!C38="","",产品清单!C38)</f>
        <v/>
      </c>
      <c r="D38" s="2">
        <f>IF($A38="","",IFERROR(AVERAGEIFS(场景记录!J:J,场景记录!B:B,$A38,场景记录!D:D,"空闲常驻"),""))</f>
        <v/>
      </c>
      <c r="E38" s="2">
        <f>IF($A38="","",IFERROR(AVERAGEIFS(场景记录!M:M,场景记录!B:B,$A38,场景记录!D:D,"空闲常驻"),""))</f>
        <v/>
      </c>
      <c r="F38" s="2">
        <f>IF($A38="","",IFERROR(MAXIFS(场景记录!P:P,场景记录!B:B,$A38),""))</f>
        <v/>
      </c>
      <c r="G38" s="2" t="inlineStr"/>
      <c r="H38" s="2" t="inlineStr"/>
      <c r="I38" s="2" t="inlineStr"/>
      <c r="J38" s="2">
        <f>IF($A38="","",IFERROR(AVERAGEIFS(场景记录!Z:Z,场景记录!B:B,$A38),""))</f>
        <v/>
      </c>
      <c r="K38" s="2" t="inlineStr"/>
      <c r="L38" s="2" t="inlineStr"/>
      <c r="M38" s="2">
        <f>IF($A38="","",IFERROR(ROUND(AVERAGE(I38:L38),1),""))</f>
        <v/>
      </c>
      <c r="N38" s="2">
        <f>IF(M38="","",IF(M38&gt;=4.2,"推荐",IF(M38&gt;=3.4,"可接受",IF(M38&gt;=2.6,"谨慎","不推荐"))))</f>
        <v/>
      </c>
      <c r="O38" s="2" t="inlineStr"/>
    </row>
    <row r="39" ht="28" customHeight="1">
      <c r="A39" s="2">
        <f>IF(产品清单!A39="","",产品清单!A39)</f>
        <v/>
      </c>
      <c r="B39" s="2">
        <f>IF(产品清单!B39="","",产品清单!B39)</f>
        <v/>
      </c>
      <c r="C39" s="2">
        <f>IF(产品清单!C39="","",产品清单!C39)</f>
        <v/>
      </c>
      <c r="D39" s="2">
        <f>IF($A39="","",IFERROR(AVERAGEIFS(场景记录!J:J,场景记录!B:B,$A39,场景记录!D:D,"空闲常驻"),""))</f>
        <v/>
      </c>
      <c r="E39" s="2">
        <f>IF($A39="","",IFERROR(AVERAGEIFS(场景记录!M:M,场景记录!B:B,$A39,场景记录!D:D,"空闲常驻"),""))</f>
        <v/>
      </c>
      <c r="F39" s="2">
        <f>IF($A39="","",IFERROR(MAXIFS(场景记录!P:P,场景记录!B:B,$A39),""))</f>
        <v/>
      </c>
      <c r="G39" s="2" t="inlineStr"/>
      <c r="H39" s="2" t="inlineStr"/>
      <c r="I39" s="2" t="inlineStr"/>
      <c r="J39" s="2">
        <f>IF($A39="","",IFERROR(AVERAGEIFS(场景记录!Z:Z,场景记录!B:B,$A39),""))</f>
        <v/>
      </c>
      <c r="K39" s="2" t="inlineStr"/>
      <c r="L39" s="2" t="inlineStr"/>
      <c r="M39" s="2">
        <f>IF($A39="","",IFERROR(ROUND(AVERAGE(I39:L39),1),""))</f>
        <v/>
      </c>
      <c r="N39" s="2">
        <f>IF(M39="","",IF(M39&gt;=4.2,"推荐",IF(M39&gt;=3.4,"可接受",IF(M39&gt;=2.6,"谨慎","不推荐"))))</f>
        <v/>
      </c>
      <c r="O39" s="2" t="inlineStr"/>
    </row>
    <row r="40" ht="28" customHeight="1">
      <c r="A40" s="2">
        <f>IF(产品清单!A40="","",产品清单!A40)</f>
        <v/>
      </c>
      <c r="B40" s="2">
        <f>IF(产品清单!B40="","",产品清单!B40)</f>
        <v/>
      </c>
      <c r="C40" s="2">
        <f>IF(产品清单!C40="","",产品清单!C40)</f>
        <v/>
      </c>
      <c r="D40" s="2">
        <f>IF($A40="","",IFERROR(AVERAGEIFS(场景记录!J:J,场景记录!B:B,$A40,场景记录!D:D,"空闲常驻"),""))</f>
        <v/>
      </c>
      <c r="E40" s="2">
        <f>IF($A40="","",IFERROR(AVERAGEIFS(场景记录!M:M,场景记录!B:B,$A40,场景记录!D:D,"空闲常驻"),""))</f>
        <v/>
      </c>
      <c r="F40" s="2">
        <f>IF($A40="","",IFERROR(MAXIFS(场景记录!P:P,场景记录!B:B,$A40),""))</f>
        <v/>
      </c>
      <c r="G40" s="2" t="inlineStr"/>
      <c r="H40" s="2" t="inlineStr"/>
      <c r="I40" s="2" t="inlineStr"/>
      <c r="J40" s="2">
        <f>IF($A40="","",IFERROR(AVERAGEIFS(场景记录!Z:Z,场景记录!B:B,$A40),""))</f>
        <v/>
      </c>
      <c r="K40" s="2" t="inlineStr"/>
      <c r="L40" s="2" t="inlineStr"/>
      <c r="M40" s="2">
        <f>IF($A40="","",IFERROR(ROUND(AVERAGE(I40:L40),1),""))</f>
        <v/>
      </c>
      <c r="N40" s="2">
        <f>IF(M40="","",IF(M40&gt;=4.2,"推荐",IF(M40&gt;=3.4,"可接受",IF(M40&gt;=2.6,"谨慎","不推荐"))))</f>
        <v/>
      </c>
      <c r="O40" s="2" t="inlineStr"/>
    </row>
    <row r="41" ht="28" customHeight="1">
      <c r="A41" s="2">
        <f>IF(产品清单!A41="","",产品清单!A41)</f>
        <v/>
      </c>
      <c r="B41" s="2">
        <f>IF(产品清单!B41="","",产品清单!B41)</f>
        <v/>
      </c>
      <c r="C41" s="2">
        <f>IF(产品清单!C41="","",产品清单!C41)</f>
        <v/>
      </c>
      <c r="D41" s="2">
        <f>IF($A41="","",IFERROR(AVERAGEIFS(场景记录!J:J,场景记录!B:B,$A41,场景记录!D:D,"空闲常驻"),""))</f>
        <v/>
      </c>
      <c r="E41" s="2">
        <f>IF($A41="","",IFERROR(AVERAGEIFS(场景记录!M:M,场景记录!B:B,$A41,场景记录!D:D,"空闲常驻"),""))</f>
        <v/>
      </c>
      <c r="F41" s="2">
        <f>IF($A41="","",IFERROR(MAXIFS(场景记录!P:P,场景记录!B:B,$A41),""))</f>
        <v/>
      </c>
      <c r="G41" s="2" t="inlineStr"/>
      <c r="H41" s="2" t="inlineStr"/>
      <c r="I41" s="2" t="inlineStr"/>
      <c r="J41" s="2">
        <f>IF($A41="","",IFERROR(AVERAGEIFS(场景记录!Z:Z,场景记录!B:B,$A41),""))</f>
        <v/>
      </c>
      <c r="K41" s="2" t="inlineStr"/>
      <c r="L41" s="2" t="inlineStr"/>
      <c r="M41" s="2">
        <f>IF($A41="","",IFERROR(ROUND(AVERAGE(I41:L41),1),""))</f>
        <v/>
      </c>
      <c r="N41" s="2">
        <f>IF(M41="","",IF(M41&gt;=4.2,"推荐",IF(M41&gt;=3.4,"可接受",IF(M41&gt;=2.6,"谨慎","不推荐"))))</f>
        <v/>
      </c>
      <c r="O41" s="2" t="inlineStr"/>
    </row>
    <row r="42" ht="28" customHeight="1">
      <c r="A42" s="2">
        <f>IF(产品清单!A42="","",产品清单!A42)</f>
        <v/>
      </c>
      <c r="B42" s="2">
        <f>IF(产品清单!B42="","",产品清单!B42)</f>
        <v/>
      </c>
      <c r="C42" s="2">
        <f>IF(产品清单!C42="","",产品清单!C42)</f>
        <v/>
      </c>
      <c r="D42" s="2">
        <f>IF($A42="","",IFERROR(AVERAGEIFS(场景记录!J:J,场景记录!B:B,$A42,场景记录!D:D,"空闲常驻"),""))</f>
        <v/>
      </c>
      <c r="E42" s="2">
        <f>IF($A42="","",IFERROR(AVERAGEIFS(场景记录!M:M,场景记录!B:B,$A42,场景记录!D:D,"空闲常驻"),""))</f>
        <v/>
      </c>
      <c r="F42" s="2">
        <f>IF($A42="","",IFERROR(MAXIFS(场景记录!P:P,场景记录!B:B,$A42),""))</f>
        <v/>
      </c>
      <c r="G42" s="2" t="inlineStr"/>
      <c r="H42" s="2" t="inlineStr"/>
      <c r="I42" s="2" t="inlineStr"/>
      <c r="J42" s="2">
        <f>IF($A42="","",IFERROR(AVERAGEIFS(场景记录!Z:Z,场景记录!B:B,$A42),""))</f>
        <v/>
      </c>
      <c r="K42" s="2" t="inlineStr"/>
      <c r="L42" s="2" t="inlineStr"/>
      <c r="M42" s="2">
        <f>IF($A42="","",IFERROR(ROUND(AVERAGE(I42:L42),1),""))</f>
        <v/>
      </c>
      <c r="N42" s="2">
        <f>IF(M42="","",IF(M42&gt;=4.2,"推荐",IF(M42&gt;=3.4,"可接受",IF(M42&gt;=2.6,"谨慎","不推荐"))))</f>
        <v/>
      </c>
      <c r="O42" s="2" t="inlineStr"/>
    </row>
    <row r="43" ht="28" customHeight="1">
      <c r="A43" s="2">
        <f>IF(产品清单!A43="","",产品清单!A43)</f>
        <v/>
      </c>
      <c r="B43" s="2">
        <f>IF(产品清单!B43="","",产品清单!B43)</f>
        <v/>
      </c>
      <c r="C43" s="2">
        <f>IF(产品清单!C43="","",产品清单!C43)</f>
        <v/>
      </c>
      <c r="D43" s="2">
        <f>IF($A43="","",IFERROR(AVERAGEIFS(场景记录!J:J,场景记录!B:B,$A43,场景记录!D:D,"空闲常驻"),""))</f>
        <v/>
      </c>
      <c r="E43" s="2">
        <f>IF($A43="","",IFERROR(AVERAGEIFS(场景记录!M:M,场景记录!B:B,$A43,场景记录!D:D,"空闲常驻"),""))</f>
        <v/>
      </c>
      <c r="F43" s="2">
        <f>IF($A43="","",IFERROR(MAXIFS(场景记录!P:P,场景记录!B:B,$A43),""))</f>
        <v/>
      </c>
      <c r="G43" s="2" t="inlineStr"/>
      <c r="H43" s="2" t="inlineStr"/>
      <c r="I43" s="2" t="inlineStr"/>
      <c r="J43" s="2">
        <f>IF($A43="","",IFERROR(AVERAGEIFS(场景记录!Z:Z,场景记录!B:B,$A43),""))</f>
        <v/>
      </c>
      <c r="K43" s="2" t="inlineStr"/>
      <c r="L43" s="2" t="inlineStr"/>
      <c r="M43" s="2">
        <f>IF($A43="","",IFERROR(ROUND(AVERAGE(I43:L43),1),""))</f>
        <v/>
      </c>
      <c r="N43" s="2">
        <f>IF(M43="","",IF(M43&gt;=4.2,"推荐",IF(M43&gt;=3.4,"可接受",IF(M43&gt;=2.6,"谨慎","不推荐"))))</f>
        <v/>
      </c>
      <c r="O43" s="2" t="inlineStr"/>
    </row>
    <row r="44" ht="28" customHeight="1">
      <c r="A44" s="2">
        <f>IF(产品清单!A44="","",产品清单!A44)</f>
        <v/>
      </c>
      <c r="B44" s="2">
        <f>IF(产品清单!B44="","",产品清单!B44)</f>
        <v/>
      </c>
      <c r="C44" s="2">
        <f>IF(产品清单!C44="","",产品清单!C44)</f>
        <v/>
      </c>
      <c r="D44" s="2">
        <f>IF($A44="","",IFERROR(AVERAGEIFS(场景记录!J:J,场景记录!B:B,$A44,场景记录!D:D,"空闲常驻"),""))</f>
        <v/>
      </c>
      <c r="E44" s="2">
        <f>IF($A44="","",IFERROR(AVERAGEIFS(场景记录!M:M,场景记录!B:B,$A44,场景记录!D:D,"空闲常驻"),""))</f>
        <v/>
      </c>
      <c r="F44" s="2">
        <f>IF($A44="","",IFERROR(MAXIFS(场景记录!P:P,场景记录!B:B,$A44),""))</f>
        <v/>
      </c>
      <c r="G44" s="2" t="inlineStr"/>
      <c r="H44" s="2" t="inlineStr"/>
      <c r="I44" s="2" t="inlineStr"/>
      <c r="J44" s="2">
        <f>IF($A44="","",IFERROR(AVERAGEIFS(场景记录!Z:Z,场景记录!B:B,$A44),""))</f>
        <v/>
      </c>
      <c r="K44" s="2" t="inlineStr"/>
      <c r="L44" s="2" t="inlineStr"/>
      <c r="M44" s="2">
        <f>IF($A44="","",IFERROR(ROUND(AVERAGE(I44:L44),1),""))</f>
        <v/>
      </c>
      <c r="N44" s="2">
        <f>IF(M44="","",IF(M44&gt;=4.2,"推荐",IF(M44&gt;=3.4,"可接受",IF(M44&gt;=2.6,"谨慎","不推荐"))))</f>
        <v/>
      </c>
      <c r="O44" s="2" t="inlineStr"/>
    </row>
    <row r="45" ht="28" customHeight="1">
      <c r="A45" s="2">
        <f>IF(产品清单!A45="","",产品清单!A45)</f>
        <v/>
      </c>
      <c r="B45" s="2">
        <f>IF(产品清单!B45="","",产品清单!B45)</f>
        <v/>
      </c>
      <c r="C45" s="2">
        <f>IF(产品清单!C45="","",产品清单!C45)</f>
        <v/>
      </c>
      <c r="D45" s="2">
        <f>IF($A45="","",IFERROR(AVERAGEIFS(场景记录!J:J,场景记录!B:B,$A45,场景记录!D:D,"空闲常驻"),""))</f>
        <v/>
      </c>
      <c r="E45" s="2">
        <f>IF($A45="","",IFERROR(AVERAGEIFS(场景记录!M:M,场景记录!B:B,$A45,场景记录!D:D,"空闲常驻"),""))</f>
        <v/>
      </c>
      <c r="F45" s="2">
        <f>IF($A45="","",IFERROR(MAXIFS(场景记录!P:P,场景记录!B:B,$A45),""))</f>
        <v/>
      </c>
      <c r="G45" s="2" t="inlineStr"/>
      <c r="H45" s="2" t="inlineStr"/>
      <c r="I45" s="2" t="inlineStr"/>
      <c r="J45" s="2">
        <f>IF($A45="","",IFERROR(AVERAGEIFS(场景记录!Z:Z,场景记录!B:B,$A45),""))</f>
        <v/>
      </c>
      <c r="K45" s="2" t="inlineStr"/>
      <c r="L45" s="2" t="inlineStr"/>
      <c r="M45" s="2">
        <f>IF($A45="","",IFERROR(ROUND(AVERAGE(I45:L45),1),""))</f>
        <v/>
      </c>
      <c r="N45" s="2">
        <f>IF(M45="","",IF(M45&gt;=4.2,"推荐",IF(M45&gt;=3.4,"可接受",IF(M45&gt;=2.6,"谨慎","不推荐"))))</f>
        <v/>
      </c>
      <c r="O45" s="2" t="inlineStr"/>
    </row>
    <row r="46" ht="28" customHeight="1">
      <c r="A46" s="2">
        <f>IF(产品清单!A46="","",产品清单!A46)</f>
        <v/>
      </c>
      <c r="B46" s="2">
        <f>IF(产品清单!B46="","",产品清单!B46)</f>
        <v/>
      </c>
      <c r="C46" s="2">
        <f>IF(产品清单!C46="","",产品清单!C46)</f>
        <v/>
      </c>
      <c r="D46" s="2">
        <f>IF($A46="","",IFERROR(AVERAGEIFS(场景记录!J:J,场景记录!B:B,$A46,场景记录!D:D,"空闲常驻"),""))</f>
        <v/>
      </c>
      <c r="E46" s="2">
        <f>IF($A46="","",IFERROR(AVERAGEIFS(场景记录!M:M,场景记录!B:B,$A46,场景记录!D:D,"空闲常驻"),""))</f>
        <v/>
      </c>
      <c r="F46" s="2">
        <f>IF($A46="","",IFERROR(MAXIFS(场景记录!P:P,场景记录!B:B,$A46),""))</f>
        <v/>
      </c>
      <c r="G46" s="2" t="inlineStr"/>
      <c r="H46" s="2" t="inlineStr"/>
      <c r="I46" s="2" t="inlineStr"/>
      <c r="J46" s="2">
        <f>IF($A46="","",IFERROR(AVERAGEIFS(场景记录!Z:Z,场景记录!B:B,$A46),""))</f>
        <v/>
      </c>
      <c r="K46" s="2" t="inlineStr"/>
      <c r="L46" s="2" t="inlineStr"/>
      <c r="M46" s="2">
        <f>IF($A46="","",IFERROR(ROUND(AVERAGE(I46:L46),1),""))</f>
        <v/>
      </c>
      <c r="N46" s="2">
        <f>IF(M46="","",IF(M46&gt;=4.2,"推荐",IF(M46&gt;=3.4,"可接受",IF(M46&gt;=2.6,"谨慎","不推荐"))))</f>
        <v/>
      </c>
      <c r="O46" s="2" t="inlineStr"/>
    </row>
    <row r="47" ht="28" customHeight="1">
      <c r="A47" s="2">
        <f>IF(产品清单!A47="","",产品清单!A47)</f>
        <v/>
      </c>
      <c r="B47" s="2">
        <f>IF(产品清单!B47="","",产品清单!B47)</f>
        <v/>
      </c>
      <c r="C47" s="2">
        <f>IF(产品清单!C47="","",产品清单!C47)</f>
        <v/>
      </c>
      <c r="D47" s="2">
        <f>IF($A47="","",IFERROR(AVERAGEIFS(场景记录!J:J,场景记录!B:B,$A47,场景记录!D:D,"空闲常驻"),""))</f>
        <v/>
      </c>
      <c r="E47" s="2">
        <f>IF($A47="","",IFERROR(AVERAGEIFS(场景记录!M:M,场景记录!B:B,$A47,场景记录!D:D,"空闲常驻"),""))</f>
        <v/>
      </c>
      <c r="F47" s="2">
        <f>IF($A47="","",IFERROR(MAXIFS(场景记录!P:P,场景记录!B:B,$A47),""))</f>
        <v/>
      </c>
      <c r="G47" s="2" t="inlineStr"/>
      <c r="H47" s="2" t="inlineStr"/>
      <c r="I47" s="2" t="inlineStr"/>
      <c r="J47" s="2">
        <f>IF($A47="","",IFERROR(AVERAGEIFS(场景记录!Z:Z,场景记录!B:B,$A47),""))</f>
        <v/>
      </c>
      <c r="K47" s="2" t="inlineStr"/>
      <c r="L47" s="2" t="inlineStr"/>
      <c r="M47" s="2">
        <f>IF($A47="","",IFERROR(ROUND(AVERAGE(I47:L47),1),""))</f>
        <v/>
      </c>
      <c r="N47" s="2">
        <f>IF(M47="","",IF(M47&gt;=4.2,"推荐",IF(M47&gt;=3.4,"可接受",IF(M47&gt;=2.6,"谨慎","不推荐"))))</f>
        <v/>
      </c>
      <c r="O47" s="2" t="inlineStr"/>
    </row>
    <row r="48" ht="28" customHeight="1">
      <c r="A48" s="2">
        <f>IF(产品清单!A48="","",产品清单!A48)</f>
        <v/>
      </c>
      <c r="B48" s="2">
        <f>IF(产品清单!B48="","",产品清单!B48)</f>
        <v/>
      </c>
      <c r="C48" s="2">
        <f>IF(产品清单!C48="","",产品清单!C48)</f>
        <v/>
      </c>
      <c r="D48" s="2">
        <f>IF($A48="","",IFERROR(AVERAGEIFS(场景记录!J:J,场景记录!B:B,$A48,场景记录!D:D,"空闲常驻"),""))</f>
        <v/>
      </c>
      <c r="E48" s="2">
        <f>IF($A48="","",IFERROR(AVERAGEIFS(场景记录!M:M,场景记录!B:B,$A48,场景记录!D:D,"空闲常驻"),""))</f>
        <v/>
      </c>
      <c r="F48" s="2">
        <f>IF($A48="","",IFERROR(MAXIFS(场景记录!P:P,场景记录!B:B,$A48),""))</f>
        <v/>
      </c>
      <c r="G48" s="2" t="inlineStr"/>
      <c r="H48" s="2" t="inlineStr"/>
      <c r="I48" s="2" t="inlineStr"/>
      <c r="J48" s="2">
        <f>IF($A48="","",IFERROR(AVERAGEIFS(场景记录!Z:Z,场景记录!B:B,$A48),""))</f>
        <v/>
      </c>
      <c r="K48" s="2" t="inlineStr"/>
      <c r="L48" s="2" t="inlineStr"/>
      <c r="M48" s="2">
        <f>IF($A48="","",IFERROR(ROUND(AVERAGE(I48:L48),1),""))</f>
        <v/>
      </c>
      <c r="N48" s="2">
        <f>IF(M48="","",IF(M48&gt;=4.2,"推荐",IF(M48&gt;=3.4,"可接受",IF(M48&gt;=2.6,"谨慎","不推荐"))))</f>
        <v/>
      </c>
      <c r="O48" s="2" t="inlineStr"/>
    </row>
    <row r="49" ht="28" customHeight="1">
      <c r="A49" s="2">
        <f>IF(产品清单!A49="","",产品清单!A49)</f>
        <v/>
      </c>
      <c r="B49" s="2">
        <f>IF(产品清单!B49="","",产品清单!B49)</f>
        <v/>
      </c>
      <c r="C49" s="2">
        <f>IF(产品清单!C49="","",产品清单!C49)</f>
        <v/>
      </c>
      <c r="D49" s="2">
        <f>IF($A49="","",IFERROR(AVERAGEIFS(场景记录!J:J,场景记录!B:B,$A49,场景记录!D:D,"空闲常驻"),""))</f>
        <v/>
      </c>
      <c r="E49" s="2">
        <f>IF($A49="","",IFERROR(AVERAGEIFS(场景记录!M:M,场景记录!B:B,$A49,场景记录!D:D,"空闲常驻"),""))</f>
        <v/>
      </c>
      <c r="F49" s="2">
        <f>IF($A49="","",IFERROR(MAXIFS(场景记录!P:P,场景记录!B:B,$A49),""))</f>
        <v/>
      </c>
      <c r="G49" s="2" t="inlineStr"/>
      <c r="H49" s="2" t="inlineStr"/>
      <c r="I49" s="2" t="inlineStr"/>
      <c r="J49" s="2">
        <f>IF($A49="","",IFERROR(AVERAGEIFS(场景记录!Z:Z,场景记录!B:B,$A49),""))</f>
        <v/>
      </c>
      <c r="K49" s="2" t="inlineStr"/>
      <c r="L49" s="2" t="inlineStr"/>
      <c r="M49" s="2">
        <f>IF($A49="","",IFERROR(ROUND(AVERAGE(I49:L49),1),""))</f>
        <v/>
      </c>
      <c r="N49" s="2">
        <f>IF(M49="","",IF(M49&gt;=4.2,"推荐",IF(M49&gt;=3.4,"可接受",IF(M49&gt;=2.6,"谨慎","不推荐"))))</f>
        <v/>
      </c>
      <c r="O49" s="2" t="inlineStr"/>
    </row>
    <row r="50" ht="28" customHeight="1">
      <c r="A50" s="2">
        <f>IF(产品清单!A50="","",产品清单!A50)</f>
        <v/>
      </c>
      <c r="B50" s="2">
        <f>IF(产品清单!B50="","",产品清单!B50)</f>
        <v/>
      </c>
      <c r="C50" s="2">
        <f>IF(产品清单!C50="","",产品清单!C50)</f>
        <v/>
      </c>
      <c r="D50" s="2">
        <f>IF($A50="","",IFERROR(AVERAGEIFS(场景记录!J:J,场景记录!B:B,$A50,场景记录!D:D,"空闲常驻"),""))</f>
        <v/>
      </c>
      <c r="E50" s="2">
        <f>IF($A50="","",IFERROR(AVERAGEIFS(场景记录!M:M,场景记录!B:B,$A50,场景记录!D:D,"空闲常驻"),""))</f>
        <v/>
      </c>
      <c r="F50" s="2">
        <f>IF($A50="","",IFERROR(MAXIFS(场景记录!P:P,场景记录!B:B,$A50),""))</f>
        <v/>
      </c>
      <c r="G50" s="2" t="inlineStr"/>
      <c r="H50" s="2" t="inlineStr"/>
      <c r="I50" s="2" t="inlineStr"/>
      <c r="J50" s="2">
        <f>IF($A50="","",IFERROR(AVERAGEIFS(场景记录!Z:Z,场景记录!B:B,$A50),""))</f>
        <v/>
      </c>
      <c r="K50" s="2" t="inlineStr"/>
      <c r="L50" s="2" t="inlineStr"/>
      <c r="M50" s="2">
        <f>IF($A50="","",IFERROR(ROUND(AVERAGE(I50:L50),1),""))</f>
        <v/>
      </c>
      <c r="N50" s="2">
        <f>IF(M50="","",IF(M50&gt;=4.2,"推荐",IF(M50&gt;=3.4,"可接受",IF(M50&gt;=2.6,"谨慎","不推荐"))))</f>
        <v/>
      </c>
      <c r="O50" s="2" t="inlineStr"/>
    </row>
    <row r="51" ht="28" customHeight="1">
      <c r="A51" s="2">
        <f>IF(产品清单!A51="","",产品清单!A51)</f>
        <v/>
      </c>
      <c r="B51" s="2">
        <f>IF(产品清单!B51="","",产品清单!B51)</f>
        <v/>
      </c>
      <c r="C51" s="2">
        <f>IF(产品清单!C51="","",产品清单!C51)</f>
        <v/>
      </c>
      <c r="D51" s="2">
        <f>IF($A51="","",IFERROR(AVERAGEIFS(场景记录!J:J,场景记录!B:B,$A51,场景记录!D:D,"空闲常驻"),""))</f>
        <v/>
      </c>
      <c r="E51" s="2">
        <f>IF($A51="","",IFERROR(AVERAGEIFS(场景记录!M:M,场景记录!B:B,$A51,场景记录!D:D,"空闲常驻"),""))</f>
        <v/>
      </c>
      <c r="F51" s="2">
        <f>IF($A51="","",IFERROR(MAXIFS(场景记录!P:P,场景记录!B:B,$A51),""))</f>
        <v/>
      </c>
      <c r="G51" s="2" t="inlineStr"/>
      <c r="H51" s="2" t="inlineStr"/>
      <c r="I51" s="2" t="inlineStr"/>
      <c r="J51" s="2">
        <f>IF($A51="","",IFERROR(AVERAGEIFS(场景记录!Z:Z,场景记录!B:B,$A51),""))</f>
        <v/>
      </c>
      <c r="K51" s="2" t="inlineStr"/>
      <c r="L51" s="2" t="inlineStr"/>
      <c r="M51" s="2">
        <f>IF($A51="","",IFERROR(ROUND(AVERAGE(I51:L51),1),""))</f>
        <v/>
      </c>
      <c r="N51" s="2">
        <f>IF(M51="","",IF(M51&gt;=4.2,"推荐",IF(M51&gt;=3.4,"可接受",IF(M51&gt;=2.6,"谨慎","不推荐"))))</f>
        <v/>
      </c>
      <c r="O51" s="2" t="inlineStr"/>
    </row>
  </sheetData>
  <conditionalFormatting sqref="N2:N51">
    <cfRule type="cellIs" priority="1" operator="equal" dxfId="2">
      <formula>"推荐"</formula>
    </cfRule>
    <cfRule type="cellIs" priority="2" operator="equal" dxfId="0">
      <formula>"不推荐"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0" customWidth="1" min="4" max="4"/>
    <col width="14" customWidth="1" min="5" max="5"/>
    <col width="32" customWidth="1" min="6" max="6"/>
    <col width="32" customWidth="1" min="7" max="7"/>
    <col width="26" customWidth="1" min="8" max="8"/>
    <col width="32" customWidth="1" min="9" max="9"/>
    <col width="12" customWidth="1" min="10" max="10"/>
  </cols>
  <sheetData>
    <row r="1" ht="34" customHeight="1">
      <c r="A1" s="1" t="inlineStr">
        <is>
          <t>问题ID</t>
        </is>
      </c>
      <c r="B1" s="1" t="inlineStr">
        <is>
          <t>产品ID</t>
        </is>
      </c>
      <c r="C1" s="1" t="inlineStr">
        <is>
          <t>场景</t>
        </is>
      </c>
      <c r="D1" s="1" t="inlineStr">
        <is>
          <t>严重度</t>
        </is>
      </c>
      <c r="E1" s="1" t="inlineStr">
        <is>
          <t>问题类型</t>
        </is>
      </c>
      <c r="F1" s="1" t="inlineStr">
        <is>
          <t>现象描述</t>
        </is>
      </c>
      <c r="G1" s="1" t="inlineStr">
        <is>
          <t>复现步骤</t>
        </is>
      </c>
      <c r="H1" s="1" t="inlineStr">
        <is>
          <t>证据路径</t>
        </is>
      </c>
      <c r="I1" s="1" t="inlineStr">
        <is>
          <t>处理建议</t>
        </is>
      </c>
      <c r="J1" s="1" t="inlineStr">
        <is>
          <t>状态</t>
        </is>
      </c>
    </row>
    <row r="2" ht="28" customHeight="1">
      <c r="A2" s="2" t="inlineStr">
        <is>
          <t>I001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>
        <is>
          <t>待处理</t>
        </is>
      </c>
    </row>
    <row r="3" ht="28" customHeight="1">
      <c r="A3" s="2" t="inlineStr">
        <is>
          <t>I002</t>
        </is>
      </c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  <c r="J3" s="2" t="inlineStr">
        <is>
          <t>待处理</t>
        </is>
      </c>
    </row>
    <row r="4" ht="28" customHeight="1">
      <c r="A4" s="2" t="inlineStr">
        <is>
          <t>I003</t>
        </is>
      </c>
      <c r="B4" s="2" t="inlineStr"/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inlineStr">
        <is>
          <t>待处理</t>
        </is>
      </c>
    </row>
    <row r="5" ht="28" customHeight="1">
      <c r="A5" s="2" t="inlineStr">
        <is>
          <t>I004</t>
        </is>
      </c>
      <c r="B5" s="2" t="inlineStr"/>
      <c r="C5" s="2" t="inlineStr"/>
      <c r="D5" s="2" t="inlineStr"/>
      <c r="E5" s="2" t="inlineStr"/>
      <c r="F5" s="2" t="inlineStr"/>
      <c r="G5" s="2" t="inlineStr"/>
      <c r="H5" s="2" t="inlineStr"/>
      <c r="I5" s="2" t="inlineStr"/>
      <c r="J5" s="2" t="inlineStr">
        <is>
          <t>待处理</t>
        </is>
      </c>
    </row>
    <row r="6" ht="28" customHeight="1">
      <c r="A6" s="2" t="inlineStr">
        <is>
          <t>I005</t>
        </is>
      </c>
      <c r="B6" s="2" t="inlineStr"/>
      <c r="C6" s="2" t="inlineStr"/>
      <c r="D6" s="2" t="inlineStr"/>
      <c r="E6" s="2" t="inlineStr"/>
      <c r="F6" s="2" t="inlineStr"/>
      <c r="G6" s="2" t="inlineStr"/>
      <c r="H6" s="2" t="inlineStr"/>
      <c r="I6" s="2" t="inlineStr"/>
      <c r="J6" s="2" t="inlineStr">
        <is>
          <t>待处理</t>
        </is>
      </c>
    </row>
    <row r="7" ht="28" customHeight="1">
      <c r="A7" s="2" t="inlineStr">
        <is>
          <t>I006</t>
        </is>
      </c>
      <c r="B7" s="2" t="inlineStr"/>
      <c r="C7" s="2" t="inlineStr"/>
      <c r="D7" s="2" t="inlineStr"/>
      <c r="E7" s="2" t="inlineStr"/>
      <c r="F7" s="2" t="inlineStr"/>
      <c r="G7" s="2" t="inlineStr"/>
      <c r="H7" s="2" t="inlineStr"/>
      <c r="I7" s="2" t="inlineStr"/>
      <c r="J7" s="2" t="inlineStr">
        <is>
          <t>待处理</t>
        </is>
      </c>
    </row>
    <row r="8" ht="28" customHeight="1">
      <c r="A8" s="2" t="inlineStr">
        <is>
          <t>I007</t>
        </is>
      </c>
      <c r="B8" s="2" t="inlineStr"/>
      <c r="C8" s="2" t="inlineStr"/>
      <c r="D8" s="2" t="inlineStr"/>
      <c r="E8" s="2" t="inlineStr"/>
      <c r="F8" s="2" t="inlineStr"/>
      <c r="G8" s="2" t="inlineStr"/>
      <c r="H8" s="2" t="inlineStr"/>
      <c r="I8" s="2" t="inlineStr"/>
      <c r="J8" s="2" t="inlineStr">
        <is>
          <t>待处理</t>
        </is>
      </c>
    </row>
    <row r="9" ht="28" customHeight="1">
      <c r="A9" s="2" t="inlineStr">
        <is>
          <t>I008</t>
        </is>
      </c>
      <c r="B9" s="2" t="inlineStr"/>
      <c r="C9" s="2" t="inlineStr"/>
      <c r="D9" s="2" t="inlineStr"/>
      <c r="E9" s="2" t="inlineStr"/>
      <c r="F9" s="2" t="inlineStr"/>
      <c r="G9" s="2" t="inlineStr"/>
      <c r="H9" s="2" t="inlineStr"/>
      <c r="I9" s="2" t="inlineStr"/>
      <c r="J9" s="2" t="inlineStr">
        <is>
          <t>待处理</t>
        </is>
      </c>
    </row>
    <row r="10" ht="28" customHeight="1">
      <c r="A10" s="2" t="inlineStr">
        <is>
          <t>I009</t>
        </is>
      </c>
      <c r="B10" s="2" t="inlineStr"/>
      <c r="C10" s="2" t="inlineStr"/>
      <c r="D10" s="2" t="inlineStr"/>
      <c r="E10" s="2" t="inlineStr"/>
      <c r="F10" s="2" t="inlineStr"/>
      <c r="G10" s="2" t="inlineStr"/>
      <c r="H10" s="2" t="inlineStr"/>
      <c r="I10" s="2" t="inlineStr"/>
      <c r="J10" s="2" t="inlineStr">
        <is>
          <t>待处理</t>
        </is>
      </c>
    </row>
    <row r="11" ht="28" customHeight="1">
      <c r="A11" s="2" t="inlineStr">
        <is>
          <t>I010</t>
        </is>
      </c>
      <c r="B11" s="2" t="inlineStr"/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>
        <is>
          <t>待处理</t>
        </is>
      </c>
    </row>
    <row r="12" ht="28" customHeight="1">
      <c r="A12" s="2" t="inlineStr">
        <is>
          <t>I011</t>
        </is>
      </c>
      <c r="B12" s="2" t="inlineStr"/>
      <c r="C12" s="2" t="inlineStr"/>
      <c r="D12" s="2" t="inlineStr"/>
      <c r="E12" s="2" t="inlineStr"/>
      <c r="F12" s="2" t="inlineStr"/>
      <c r="G12" s="2" t="inlineStr"/>
      <c r="H12" s="2" t="inlineStr"/>
      <c r="I12" s="2" t="inlineStr"/>
      <c r="J12" s="2" t="inlineStr">
        <is>
          <t>待处理</t>
        </is>
      </c>
    </row>
    <row r="13" ht="28" customHeight="1">
      <c r="A13" s="2" t="inlineStr">
        <is>
          <t>I012</t>
        </is>
      </c>
      <c r="B13" s="2" t="inlineStr"/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inlineStr">
        <is>
          <t>待处理</t>
        </is>
      </c>
    </row>
    <row r="14" ht="28" customHeight="1">
      <c r="A14" s="2" t="inlineStr">
        <is>
          <t>I013</t>
        </is>
      </c>
      <c r="B14" s="2" t="inlineStr"/>
      <c r="C14" s="2" t="inlineStr"/>
      <c r="D14" s="2" t="inlineStr"/>
      <c r="E14" s="2" t="inlineStr"/>
      <c r="F14" s="2" t="inlineStr"/>
      <c r="G14" s="2" t="inlineStr"/>
      <c r="H14" s="2" t="inlineStr"/>
      <c r="I14" s="2" t="inlineStr"/>
      <c r="J14" s="2" t="inlineStr">
        <is>
          <t>待处理</t>
        </is>
      </c>
    </row>
    <row r="15" ht="28" customHeight="1">
      <c r="A15" s="2" t="inlineStr">
        <is>
          <t>I014</t>
        </is>
      </c>
      <c r="B15" s="2" t="inlineStr"/>
      <c r="C15" s="2" t="inlineStr"/>
      <c r="D15" s="2" t="inlineStr"/>
      <c r="E15" s="2" t="inlineStr"/>
      <c r="F15" s="2" t="inlineStr"/>
      <c r="G15" s="2" t="inlineStr"/>
      <c r="H15" s="2" t="inlineStr"/>
      <c r="I15" s="2" t="inlineStr"/>
      <c r="J15" s="2" t="inlineStr">
        <is>
          <t>待处理</t>
        </is>
      </c>
    </row>
    <row r="16" ht="28" customHeight="1">
      <c r="A16" s="2" t="inlineStr">
        <is>
          <t>I015</t>
        </is>
      </c>
      <c r="B16" s="2" t="inlineStr"/>
      <c r="C16" s="2" t="inlineStr"/>
      <c r="D16" s="2" t="inlineStr"/>
      <c r="E16" s="2" t="inlineStr"/>
      <c r="F16" s="2" t="inlineStr"/>
      <c r="G16" s="2" t="inlineStr"/>
      <c r="H16" s="2" t="inlineStr"/>
      <c r="I16" s="2" t="inlineStr"/>
      <c r="J16" s="2" t="inlineStr">
        <is>
          <t>待处理</t>
        </is>
      </c>
    </row>
  </sheetData>
  <dataValidations count="2">
    <dataValidation sqref="D2:D16" showDropDown="0" showInputMessage="0" showErrorMessage="0" allowBlank="1" type="list">
      <formula1>"P0,P1,P2,P3"</formula1>
    </dataValidation>
    <dataValidation sqref="J2:J16" showDropDown="0" showInputMessage="0" showErrorMessage="0" allowBlank="1" type="list">
      <formula1>"待处理,已确认,已修复,不处理"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0" customWidth="1" min="2" max="2"/>
  </cols>
  <sheetData>
    <row r="1" ht="34" customHeight="1">
      <c r="A1" s="1" t="inlineStr">
        <is>
          <t>字段/概念</t>
        </is>
      </c>
      <c r="B1" s="1" t="inlineStr">
        <is>
          <t>说明</t>
        </is>
      </c>
    </row>
    <row r="2" ht="28" customHeight="1">
      <c r="A2" s="2" t="inlineStr">
        <is>
          <t>P95</t>
        </is>
      </c>
      <c r="B2" s="2" t="inlineStr">
        <is>
          <t>把采样值从小到大排序后，位于 95% 位置的值，用于观察高占用尾部。</t>
        </is>
      </c>
    </row>
    <row r="3" ht="28" customHeight="1">
      <c r="A3" s="2" t="inlineStr">
        <is>
          <t>1% Low</t>
        </is>
      </c>
      <c r="B3" s="2" t="inlineStr">
        <is>
          <t>最低 1% 帧率区间的平均表现，比平均 FPS 更能反映卡顿。</t>
        </is>
      </c>
    </row>
    <row r="4" ht="28" customHeight="1">
      <c r="A4" s="2" t="inlineStr">
        <is>
          <t>GPU Engine</t>
        </is>
      </c>
      <c r="B4" s="2" t="inlineStr">
        <is>
          <t>任务管理器中显示的 GPU 引擎，如 3D、Copy、Video Decode。</t>
        </is>
      </c>
    </row>
    <row r="5" ht="28" customHeight="1">
      <c r="A5" s="2" t="inlineStr">
        <is>
          <t>工作集内存</t>
        </is>
      </c>
      <c r="B5" s="2" t="inlineStr">
        <is>
          <t>进程当前占用的物理内存，适合观察常驻压力。</t>
        </is>
      </c>
    </row>
    <row r="6" ht="28" customHeight="1">
      <c r="A6" s="2" t="inlineStr">
        <is>
          <t>句柄增长</t>
        </is>
      </c>
      <c r="B6" s="2" t="inlineStr">
        <is>
          <t>起始句柄数与结束句柄数差值，持续增长可能意味着资源泄漏。</t>
        </is>
      </c>
    </row>
    <row r="7" ht="28" customHeight="1">
      <c r="A7" s="2" t="inlineStr">
        <is>
          <t>风险等级</t>
        </is>
      </c>
      <c r="B7" s="2" t="inlineStr">
        <is>
          <t>低：可接受；中：需解释或优化；高：影响体验、安全或稳定性。</t>
        </is>
      </c>
    </row>
    <row r="8" ht="28" customHeight="1">
      <c r="A8" s="2" t="inlineStr">
        <is>
          <t>推荐等级</t>
        </is>
      </c>
      <c r="B8" s="2" t="inlineStr">
        <is>
          <t>由总分初步生成，最终应结合问题记录和主观体验人工确认。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3" t="inlineStr">
        <is>
          <t>用途</t>
        </is>
      </c>
      <c r="B1" s="3" t="inlineStr">
        <is>
          <t>说明</t>
        </is>
      </c>
    </row>
    <row r="2">
      <c r="A2" s="4" t="inlineStr">
        <is>
          <t>一键采集</t>
        </is>
      </c>
      <c r="B2" s="4" t="inlineStr">
        <is>
          <t>使用 tools/collect_desktop_pet_perf.ps1 按产品、进程名、场景和时长自动采集 CPU、GPU、内存、显存、句柄、线程、IO、TCP 连接数。</t>
        </is>
      </c>
    </row>
    <row r="3">
      <c r="A3" s="4" t="inlineStr">
        <is>
          <t>配置运行</t>
        </is>
      </c>
      <c r="B3" s="4" t="inlineStr">
        <is>
          <t>复制 tools/perf_collect_config.example.json，改产品名、进程名和场景后，用 tools/run_perf_from_config.ps1 批量执行。</t>
        </is>
      </c>
    </row>
    <row r="4">
      <c r="A4" s="4" t="inlineStr">
        <is>
          <t>导入 Excel</t>
        </is>
      </c>
      <c r="B4" s="4" t="inlineStr">
        <is>
          <t>采集结束后运行 tools/import_perf_results.py，它会把 perf_runs 下的 summary.csv 和 raw_samples.csv 导入本工作簿。</t>
        </is>
      </c>
    </row>
    <row r="5">
      <c r="A5" s="4" t="inlineStr">
        <is>
          <t>FPS/帧时间</t>
        </is>
      </c>
      <c r="B5" s="4" t="inlineStr">
        <is>
          <t>使用 PresentMon 或 NVIDIA FrameView 单独导出 CSV，再通过 import_perf_results.py 的 --presentmon-csv 参数导入。</t>
        </is>
      </c>
    </row>
    <row r="6">
      <c r="A6" s="4" t="inlineStr">
        <is>
          <t>功耗/温度</t>
        </is>
      </c>
      <c r="B6" s="4" t="inlineStr">
        <is>
          <t>使用 HWiNFO 传感器日志导出 CSV，再通过 import_perf_results.py 的 --hwinfo-csv 参数导入。</t>
        </is>
      </c>
    </row>
    <row r="7">
      <c r="A7" s="4" t="inlineStr">
        <is>
          <t>推荐命令</t>
        </is>
      </c>
      <c r="B7" s="4" t="inlineStr">
        <is>
          <t>powershell -ExecutionPolicy Bypass -File D:\desktop_pet\tools\collect_desktop_pet_perf.ps1 -ProductId P001 -ProductName BongoCat -ProcessName BongoCat -Scenario 空闲常驻 -DurationSec 600</t>
        </is>
      </c>
    </row>
    <row r="8">
      <c r="A8" s="4" t="inlineStr">
        <is>
          <t>导入命令</t>
        </is>
      </c>
      <c r="B8" s="4" t="inlineStr">
        <is>
          <t>C:\Users\zoeuuliu\.cache\codex-runtimes\codex-primary-runtime\dependencies\python\python.exe D:\desktop_pet\tools\import_perf_results.py</t>
        </is>
      </c>
    </row>
    <row r="9">
      <c r="A9" s="4" t="inlineStr">
        <is>
          <t>注意</t>
        </is>
      </c>
      <c r="B9" s="4" t="inlineStr">
        <is>
          <t>GPU/显存依赖 Windows GPU 性能计数器；FPS、1% Low、帧时间、功耗、温度需要外部工具日志，普通进程 API 无法稳定直接提供。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28" customWidth="1" min="8" max="8"/>
    <col width="14" customWidth="1" min="9" max="9"/>
    <col width="12" customWidth="1" min="10" max="10"/>
  </cols>
  <sheetData>
    <row r="1">
      <c r="A1" s="3" t="inlineStr">
        <is>
          <t>导入ID</t>
        </is>
      </c>
      <c r="B1" s="3" t="inlineStr">
        <is>
          <t>产品ID</t>
        </is>
      </c>
      <c r="C1" s="3" t="inlineStr">
        <is>
          <t>产品名称</t>
        </is>
      </c>
      <c r="D1" s="3" t="inlineStr">
        <is>
          <t>场景</t>
        </is>
      </c>
      <c r="E1" s="3" t="inlineStr">
        <is>
          <t>开始时间</t>
        </is>
      </c>
      <c r="F1" s="3" t="inlineStr">
        <is>
          <t>采样数</t>
        </is>
      </c>
      <c r="G1" s="3" t="inlineStr">
        <is>
          <t>原始CSV</t>
        </is>
      </c>
      <c r="H1" s="3" t="inlineStr">
        <is>
          <t>PresentMon/FrameView CSV</t>
        </is>
      </c>
      <c r="I1" s="3" t="inlineStr">
        <is>
          <t>HWiNFO CSV</t>
        </is>
      </c>
      <c r="J1" s="3" t="inlineStr">
        <is>
          <t>导入时间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2026-05-09T04:00:31Z</dcterms:created>
  <dcterms:modified xmlns:dcterms="http://purl.org/dc/terms/" xmlns:xsi="http://www.w3.org/2001/XMLSchema-instance" xsi:type="dcterms:W3CDTF">2026-05-09T04:17:17Z</dcterms:modified>
</cp:coreProperties>
</file>