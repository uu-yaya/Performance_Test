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清单" sheetId="1" state="visible" r:id="rId1"/>
    <sheet xmlns:r="http://schemas.openxmlformats.org/officeDocument/2006/relationships" name="测试环境" sheetId="2" state="visible" r:id="rId2"/>
    <sheet xmlns:r="http://schemas.openxmlformats.org/officeDocument/2006/relationships" name="场景记录" sheetId="3" state="visible" r:id="rId3"/>
    <sheet xmlns:r="http://schemas.openxmlformats.org/officeDocument/2006/relationships" name="采样数据" sheetId="4" state="visible" r:id="rId4"/>
    <sheet xmlns:r="http://schemas.openxmlformats.org/officeDocument/2006/relationships" name="汇总评分" sheetId="5" state="visible" r:id="rId5"/>
    <sheet xmlns:r="http://schemas.openxmlformats.org/officeDocument/2006/relationships" name="问题记录" sheetId="6" state="visible" r:id="rId6"/>
    <sheet xmlns:r="http://schemas.openxmlformats.org/officeDocument/2006/relationships" name="字段说明" sheetId="7" state="visible" r:id="rId7"/>
    <sheet xmlns:r="http://schemas.openxmlformats.org/officeDocument/2006/relationships" name="自动采集说明" sheetId="8" state="visible" r:id="rId8"/>
    <sheet xmlns:r="http://schemas.openxmlformats.org/officeDocument/2006/relationships" name="自动采集导入" sheetId="9" state="visible" r:id="rId9"/>
  </sheets>
  <definedNames>
    <definedName name="_xlnm._FilterDatabase" localSheetId="2" hidden="1">'场景记录'!$A$1:$AB$22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222222"/>
      <sz val="10"/>
    </font>
    <font>
      <name val="Microsoft YaHei"/>
      <sz val="10"/>
    </font>
  </fonts>
  <fills count="9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BFBFBF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EADCF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8CDD1"/>
      </left>
      <right style="thin">
        <color rgb="00B8CDD1"/>
      </right>
      <top style="thin">
        <color rgb="00B8CDD1"/>
      </top>
      <bottom style="thin">
        <color rgb="00B8CDD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产品总分对比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'汇总评分'!M1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'汇总评分'!$B$2:$B$4</f>
            </numRef>
          </cat>
          <val>
            <numRef>
              <f>'汇总评分'!$M$2:$M$4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产品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ducts" displayName="tbl_products" ref="A1:J4" headerRowCount="1">
  <autoFilter ref="A1:J4"/>
  <tableColumns count="10">
    <tableColumn id="1" name="产品ID"/>
    <tableColumn id="2" name="产品名称"/>
    <tableColumn id="3" name="来源渠道"/>
    <tableColumn id="4" name="链接/路径"/>
    <tableColumn id="5" name="版本/Release/Commit"/>
    <tableColumn id="6" name="运行方式"/>
    <tableColumn id="7" name="主进程名"/>
    <tableColumn id="8" name="子进程/依赖"/>
    <tableColumn id="9" name="关键配置"/>
    <tableColumn id="10" name="备注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environment" displayName="tbl_environment" ref="A1:C14" headerRowCount="1">
  <autoFilter ref="A1:C14"/>
  <tableColumns count="3">
    <tableColumn id="1" name="字段"/>
    <tableColumn id="2" name="填写值"/>
    <tableColumn id="3" name="说明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scenarios" displayName="tbl_scenarios" ref="A1:AB22" headerRowCount="1">
  <autoFilter ref="A1:AB22"/>
  <tableColumns count="28">
    <tableColumn id="1" name="记录ID"/>
    <tableColumn id="2" name="产品ID"/>
    <tableColumn id="3" name="产品名称"/>
    <tableColumn id="4" name="场景"/>
    <tableColumn id="5" name="轮次"/>
    <tableColumn id="6" name="开始时间"/>
    <tableColumn id="7" name="结束时间"/>
    <tableColumn id="8" name="时长分钟"/>
    <tableColumn id="9" name="CPU平均%"/>
    <tableColumn id="10" name="CPU P95%"/>
    <tableColumn id="11" name="CPU最大%"/>
    <tableColumn id="12" name="GPU平均%"/>
    <tableColumn id="13" name="GPU P95%"/>
    <tableColumn id="14" name="GPU最大%"/>
    <tableColumn id="15" name="内存平均MB"/>
    <tableColumn id="16" name="内存最大MB"/>
    <tableColumn id="17" name="显存平均MB"/>
    <tableColumn id="18" name="显存最大MB"/>
    <tableColumn id="19" name="句柄增长"/>
    <tableColumn id="20" name="线程增长"/>
    <tableColumn id="21" name="FPS平均"/>
    <tableColumn id="22" name="1% Low"/>
    <tableColumn id="23" name="帧时间P95ms"/>
    <tableColumn id="24" name="功耗W"/>
    <tableColumn id="25" name="最高温度C"/>
    <tableColumn id="26" name="体验评分1-5"/>
    <tableColumn id="27" name="风险等级"/>
    <tableColumn id="28" name="现象/备注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samples" displayName="tbl_samples" ref="A1:P51" headerRowCount="1">
  <autoFilter ref="A1:P51"/>
  <tableColumns count="16">
    <tableColumn id="1" name="样本ID"/>
    <tableColumn id="2" name="记录ID"/>
    <tableColumn id="3" name="时间戳"/>
    <tableColumn id="4" name="进程名"/>
    <tableColumn id="5" name="CPU%"/>
    <tableColumn id="6" name="GPU%"/>
    <tableColumn id="7" name="内存MB"/>
    <tableColumn id="8" name="显存MB"/>
    <tableColumn id="9" name="句柄数"/>
    <tableColumn id="10" name="线程数"/>
    <tableColumn id="11" name="FPS"/>
    <tableColumn id="12" name="帧时间ms"/>
    <tableColumn id="13" name="GPU Busy%"/>
    <tableColumn id="14" name="功耗W"/>
    <tableColumn id="15" name="温度C"/>
    <tableColumn id="16" name="备注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summary" displayName="tbl_summary" ref="A1:O51" headerRowCount="1">
  <autoFilter ref="A1:O51"/>
  <tableColumns count="15">
    <tableColumn id="1" name="产品ID"/>
    <tableColumn id="2" name="产品名称"/>
    <tableColumn id="3" name="来源渠道"/>
    <tableColumn id="4" name="CPU空闲P95%"/>
    <tableColumn id="5" name="GPU空闲P95%"/>
    <tableColumn id="6" name="内存最大MB"/>
    <tableColumn id="7" name="长时间内存增长MB"/>
    <tableColumn id="8" name="游戏1%Low降幅%"/>
    <tableColumn id="9" name="性能评分"/>
    <tableColumn id="10" name="体验评分"/>
    <tableColumn id="11" name="稳定性评分"/>
    <tableColumn id="12" name="隐私/权限风险"/>
    <tableColumn id="13" name="总分"/>
    <tableColumn id="14" name="推荐等级"/>
    <tableColumn id="15" name="结论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_issues" displayName="tbl_issues" ref="A1:J16" headerRowCount="1">
  <autoFilter ref="A1:J16"/>
  <tableColumns count="10">
    <tableColumn id="1" name="问题ID"/>
    <tableColumn id="2" name="产品ID"/>
    <tableColumn id="3" name="场景"/>
    <tableColumn id="4" name="严重度"/>
    <tableColumn id="5" name="问题类型"/>
    <tableColumn id="6" name="现象描述"/>
    <tableColumn id="7" name="复现步骤"/>
    <tableColumn id="8" name="证据路径"/>
    <tableColumn id="9" name="处理建议"/>
    <tableColumn id="10" name="状态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_guide" displayName="tbl_guide" ref="A1:B8" headerRowCount="1">
  <autoFilter ref="A1:B8"/>
  <tableColumns count="2">
    <tableColumn id="1" name="字段/概念"/>
    <tableColumn id="2" name="说明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30" customWidth="1" min="4" max="4"/>
    <col width="22" customWidth="1" min="5" max="5"/>
    <col width="16" customWidth="1" min="6" max="6"/>
    <col width="16" customWidth="1" min="7" max="7"/>
    <col width="22" customWidth="1" min="8" max="8"/>
    <col width="34" customWidth="1" min="9" max="9"/>
    <col width="24" customWidth="1" min="10" max="10"/>
  </cols>
  <sheetData>
    <row r="1" ht="34" customHeight="1">
      <c r="A1" s="1" t="inlineStr">
        <is>
          <t>产品ID</t>
        </is>
      </c>
      <c r="B1" s="1" t="inlineStr">
        <is>
          <t>产品名称</t>
        </is>
      </c>
      <c r="C1" s="1" t="inlineStr">
        <is>
          <t>来源渠道</t>
        </is>
      </c>
      <c r="D1" s="1" t="inlineStr">
        <is>
          <t>链接/路径</t>
        </is>
      </c>
      <c r="E1" s="1" t="inlineStr">
        <is>
          <t>版本/Release/Commit</t>
        </is>
      </c>
      <c r="F1" s="1" t="inlineStr">
        <is>
          <t>运行方式</t>
        </is>
      </c>
      <c r="G1" s="1" t="inlineStr">
        <is>
          <t>主进程名</t>
        </is>
      </c>
      <c r="H1" s="1" t="inlineStr">
        <is>
          <t>子进程/依赖</t>
        </is>
      </c>
      <c r="I1" s="1" t="inlineStr">
        <is>
          <t>关键配置</t>
        </is>
      </c>
      <c r="J1" s="1" t="inlineStr">
        <is>
          <t>备注</t>
        </is>
      </c>
      <c r="K1" s="5" t="inlineStr">
        <is>
          <t>性能类别</t>
        </is>
      </c>
    </row>
    <row r="2" ht="28" customHeight="1">
      <c r="A2" s="6" t="inlineStr">
        <is>
          <t>P001</t>
        </is>
      </c>
      <c r="B2" s="6" t="inlineStr">
        <is>
          <t>BongoCat</t>
        </is>
      </c>
      <c r="C2" s="6" t="inlineStr">
        <is>
          <t>GitHub Release/本地安装</t>
        </is>
      </c>
      <c r="D2" s="6" t="inlineStr">
        <is>
          <t>C:\Program Files\BongoCat\bongo-cat.exe；安装包 D:\desktop_pet\BongoCat\BongoCat_1.1.0_x64-setup.exe；源码包 D:\desktop_pet\BongoCat\BongoCat-master.zip</t>
        </is>
      </c>
      <c r="E2" s="6" t="inlineStr">
        <is>
          <t>v1.1.0</t>
        </is>
      </c>
      <c r="F2" s="6" t="inlineStr">
        <is>
          <t>exe 直接运行</t>
        </is>
      </c>
      <c r="G2" s="6" t="inlineStr">
        <is>
          <t>bongo-cat</t>
        </is>
      </c>
      <c r="H2" s="6" t="inlineStr">
        <is>
          <t>msedgewebview2</t>
        </is>
      </c>
      <c r="I2" s="6" t="inlineStr">
        <is>
          <t>默认桌面常驻；采集主进程+WebView2 子进程树</t>
        </is>
      </c>
      <c r="J2" s="6" t="inlineStr">
        <is>
          <t>实际测试来源为 GitHub 下载的安装包；运行时确认：bongo-cat.exe；子进程 msedgewebview2.exe</t>
        </is>
      </c>
      <c r="K2" s="6" t="inlineStr">
        <is>
          <t>轻量 2D / WebView 桌宠</t>
        </is>
      </c>
    </row>
    <row r="3" ht="28" customHeight="1">
      <c r="A3" s="7" t="inlineStr">
        <is>
          <t>P002</t>
        </is>
      </c>
      <c r="B3" s="7" t="inlineStr">
        <is>
          <t>Desktop Mate</t>
        </is>
      </c>
      <c r="C3" s="7" t="inlineStr">
        <is>
          <t>Steam</t>
        </is>
      </c>
      <c r="D3" s="7" t="inlineStr">
        <is>
          <t>C:\Program Files (x86)\Steam\steamapps\common\Desktop Mate</t>
        </is>
      </c>
      <c r="E3" s="7" t="inlineStr">
        <is>
          <t>AppID=3301060</t>
        </is>
      </c>
      <c r="F3" s="7" t="inlineStr">
        <is>
          <t>steam://rungameid/3301060</t>
        </is>
      </c>
      <c r="G3" s="7" t="inlineStr">
        <is>
          <t>DesktopMate</t>
        </is>
      </c>
      <c r="H3" s="7" t="inlineStr">
        <is>
          <t>未观察到固定子进程</t>
        </is>
      </c>
      <c r="I3" s="7" t="inlineStr">
        <is>
          <t>默认模型/默认设置</t>
        </is>
      </c>
      <c r="J3" s="7" t="inlineStr">
        <is>
          <t>运行时确认：DesktopMate.exe</t>
        </is>
      </c>
      <c r="K3" s="7" t="inlineStr">
        <is>
          <t>3D / Unity 渲染桌宠</t>
        </is>
      </c>
    </row>
    <row r="4" ht="28" customHeight="1">
      <c r="A4" s="6" t="inlineStr">
        <is>
          <t>P003</t>
        </is>
      </c>
      <c r="B4" s="6" t="inlineStr">
        <is>
          <t>VPet-Simulator</t>
        </is>
      </c>
      <c r="C4" s="6" t="inlineStr">
        <is>
          <t>Steam</t>
        </is>
      </c>
      <c r="D4" s="6" t="inlineStr">
        <is>
          <t>C:\Program Files (x86)\Steam\steamapps\common\VPet</t>
        </is>
      </c>
      <c r="E4" s="6" t="inlineStr">
        <is>
          <t>AppID=1920960</t>
        </is>
      </c>
      <c r="F4" s="6" t="inlineStr">
        <is>
          <t>steam://rungameid/1920960</t>
        </is>
      </c>
      <c r="G4" s="6" t="inlineStr">
        <is>
          <t>VPet-Simulator.Windows</t>
        </is>
      </c>
      <c r="H4" s="6" t="inlineStr">
        <is>
          <t>未观察到固定子进程</t>
        </is>
      </c>
      <c r="I4" s="6" t="inlineStr">
        <is>
          <t>记录模型、插件、帧率设置</t>
        </is>
      </c>
      <c r="J4" s="6" t="inlineStr">
        <is>
          <t>运行时确认：VPet-Simulator.Windows.exe</t>
        </is>
      </c>
      <c r="K4" s="6" t="inlineStr">
        <is>
          <t>轻量 2D / WebView 桌宠</t>
        </is>
      </c>
    </row>
    <row r="5">
      <c r="A5" s="8" t="inlineStr">
        <is>
          <t>P004</t>
        </is>
      </c>
      <c r="B5" s="8" t="inlineStr">
        <is>
          <t>Desktop Goose</t>
        </is>
      </c>
      <c r="C5" s="8" t="inlineStr">
        <is>
          <t>itch.io</t>
        </is>
      </c>
      <c r="D5" s="8" t="inlineStr">
        <is>
          <t>C:\Users\zoeuuliu\Downloads\Desktop Goose v0.31\DesktopGoose v0.31\GooseDesktop.exe；来源页 https://samperson.itch.io/desktop-goose；下载包 C:\Users\zoeuuliu\Downloads\Desktop Goose v0.31.zip</t>
        </is>
      </c>
      <c r="E5" s="8" t="inlineStr">
        <is>
          <t>v0.31</t>
        </is>
      </c>
      <c r="F5" s="8" t="inlineStr">
        <is>
          <t>itch.io 安装包 / exe 直接运行</t>
        </is>
      </c>
      <c r="G5" s="8" t="inlineStr">
        <is>
          <t>GooseDesktop</t>
        </is>
      </c>
      <c r="H5" s="8" t="inlineStr">
        <is>
          <t>未观察到固定子进程</t>
        </is>
      </c>
      <c r="I5" s="8" t="inlineStr">
        <is>
          <t>记录是否开启恶作剧/文件拖拽等功能</t>
        </is>
      </c>
      <c r="J5" s="8" t="inlineStr">
        <is>
          <t>已解压到本机 Downloads；运行时确认：GooseDesktop.exe</t>
        </is>
      </c>
      <c r="K5" s="8" t="inlineStr">
        <is>
          <t>干扰型桌面宠物</t>
        </is>
      </c>
    </row>
    <row r="6">
      <c r="A6" s="9" t="inlineStr">
        <is>
          <t>P005</t>
        </is>
      </c>
      <c r="B6" s="9" t="inlineStr">
        <is>
          <t>Ai Vpet</t>
        </is>
      </c>
      <c r="C6" s="9" t="inlineStr">
        <is>
          <t>Steam</t>
        </is>
      </c>
      <c r="D6" s="9" t="inlineStr">
        <is>
          <t>C:\Program Files (x86)\Steam\steamapps\common\Ai Vpet</t>
        </is>
      </c>
      <c r="E6" s="9" t="inlineStr">
        <is>
          <t>AppID=3029820</t>
        </is>
      </c>
      <c r="F6" s="9" t="inlineStr">
        <is>
          <t>steam://rungameid/3029820</t>
        </is>
      </c>
      <c r="G6" s="9" t="inlineStr">
        <is>
          <t>Ai Vpet</t>
        </is>
      </c>
      <c r="H6" s="9" t="inlineStr">
        <is>
          <t>UnityCrashHandler64</t>
        </is>
      </c>
      <c r="I6" s="9" t="inlineStr">
        <is>
          <t>记录 AI/语音/模型设置</t>
        </is>
      </c>
      <c r="J6" s="9" t="inlineStr">
        <is>
          <t>运行时确认：Ai Vpet.exe；子进程 UnityCrashHandler64.exe</t>
        </is>
      </c>
      <c r="K6" s="9" t="inlineStr">
        <is>
          <t>AI / WebView / 多进程桌宠</t>
        </is>
      </c>
    </row>
    <row r="7">
      <c r="A7" s="6" t="inlineStr">
        <is>
          <t>P006</t>
        </is>
      </c>
      <c r="B7" s="6" t="inlineStr">
        <is>
          <t>Tiny Pasture</t>
        </is>
      </c>
      <c r="C7" s="6" t="inlineStr">
        <is>
          <t>Steam</t>
        </is>
      </c>
      <c r="D7" s="6" t="inlineStr">
        <is>
          <t>C:\Program Files (x86)\Steam\steamapps\common\TinyPasture</t>
        </is>
      </c>
      <c r="E7" s="6" t="inlineStr">
        <is>
          <t>AppID=3167550</t>
        </is>
      </c>
      <c r="F7" s="6" t="inlineStr">
        <is>
          <t>steam://rungameid/3167550</t>
        </is>
      </c>
      <c r="G7" s="6" t="inlineStr">
        <is>
          <t>TinyPasture</t>
        </is>
      </c>
      <c r="H7" s="6" t="inlineStr">
        <is>
          <t>未观察到固定子进程</t>
        </is>
      </c>
      <c r="I7" s="6" t="inlineStr">
        <is>
          <t>记录显示/窗口/动画设置</t>
        </is>
      </c>
      <c r="J7" s="6" t="inlineStr">
        <is>
          <t>运行时确认：TinyPasture.exe</t>
        </is>
      </c>
      <c r="K7" s="6" t="inlineStr">
        <is>
          <t>轻量 2D / WebView 桌宠</t>
        </is>
      </c>
    </row>
    <row r="8">
      <c r="A8" s="7" t="inlineStr">
        <is>
          <t>P007</t>
        </is>
      </c>
      <c r="B8" s="7" t="inlineStr">
        <is>
          <t>Pocket Waifu:Desktop Pet</t>
        </is>
      </c>
      <c r="C8" s="7" t="inlineStr">
        <is>
          <t>Steam</t>
        </is>
      </c>
      <c r="D8" s="7" t="inlineStr">
        <is>
          <t>C:\Program Files (x86)\Steam\steamapps\common\Pocket Waifu Pet</t>
        </is>
      </c>
      <c r="E8" s="7" t="inlineStr">
        <is>
          <t>AppID=2989820</t>
        </is>
      </c>
      <c r="F8" s="7" t="inlineStr">
        <is>
          <t>steam://rungameid/2989820</t>
        </is>
      </c>
      <c r="G8" s="7" t="inlineStr">
        <is>
          <t>PocketWaifu</t>
        </is>
      </c>
      <c r="H8" s="7" t="inlineStr">
        <is>
          <t>UnityCrashHandler64</t>
        </is>
      </c>
      <c r="I8" s="7" t="inlineStr">
        <is>
          <t>记录模型/交互/联网设置</t>
        </is>
      </c>
      <c r="J8" s="7" t="inlineStr">
        <is>
          <t>运行时确认：PocketWaifu.exe；子进程 UnityCrashHandler64.exe</t>
        </is>
      </c>
      <c r="K8" s="7" t="inlineStr">
        <is>
          <t>3D / Unity 渲染桌宠</t>
        </is>
      </c>
    </row>
    <row r="9">
      <c r="A9" s="10" t="inlineStr">
        <is>
          <t>P008</t>
        </is>
      </c>
      <c r="B9" s="10" t="inlineStr">
        <is>
          <t>Rusty's Retirement</t>
        </is>
      </c>
      <c r="C9" s="10" t="inlineStr">
        <is>
          <t>Steam</t>
        </is>
      </c>
      <c r="D9" s="10" t="inlineStr">
        <is>
          <t>C:\Program Files (x86)\Steam\steamapps\common\Rusty's Retirement</t>
        </is>
      </c>
      <c r="E9" s="10" t="inlineStr">
        <is>
          <t>AppID=2666510</t>
        </is>
      </c>
      <c r="F9" s="10" t="inlineStr">
        <is>
          <t>steam://rungameid/2666510</t>
        </is>
      </c>
      <c r="G9" s="10" t="inlineStr">
        <is>
          <t>Rusty's Retirement</t>
        </is>
      </c>
      <c r="H9" s="10" t="inlineStr">
        <is>
          <t>UnityCrashHandler64</t>
        </is>
      </c>
      <c r="I9" s="10" t="inlineStr">
        <is>
          <t>记录是否窗口化/常驻/游戏场景</t>
        </is>
      </c>
      <c r="J9" s="10" t="inlineStr">
        <is>
          <t>运行时确认：Rusty's Retirement.exe；子进程 UnityCrashHandler64.exe</t>
        </is>
      </c>
      <c r="K9" s="10" t="inlineStr">
        <is>
          <t>常驻桌面游戏</t>
        </is>
      </c>
    </row>
    <row r="10">
      <c r="A10" s="7" t="inlineStr">
        <is>
          <t>P009</t>
        </is>
      </c>
      <c r="B10" s="7" t="inlineStr">
        <is>
          <t>MateEngine</t>
        </is>
      </c>
      <c r="C10" s="7" t="inlineStr">
        <is>
          <t>Steam</t>
        </is>
      </c>
      <c r="D10" s="7" t="inlineStr">
        <is>
          <t>C:\Program Files (x86)\Steam\steamapps\common\MateEngine</t>
        </is>
      </c>
      <c r="E10" s="7" t="inlineStr">
        <is>
          <t>AppID=3625270</t>
        </is>
      </c>
      <c r="F10" s="7" t="inlineStr">
        <is>
          <t>steam://rungameid/3625270</t>
        </is>
      </c>
      <c r="G10" s="7" t="inlineStr">
        <is>
          <t>MateEngineX</t>
        </is>
      </c>
      <c r="H10" s="7" t="inlineStr">
        <is>
          <t>UnityCrashHandler64</t>
        </is>
      </c>
      <c r="I10" s="7" t="inlineStr">
        <is>
          <t>记录模型、渲染和 AI 功能设置</t>
        </is>
      </c>
      <c r="J10" s="7" t="inlineStr">
        <is>
          <t>运行时确认：MateEngineX.exe；子进程 UnityCrashHandler64.exe</t>
        </is>
      </c>
      <c r="K10" s="7" t="inlineStr">
        <is>
          <t>3D / Unity 渲染桌宠</t>
        </is>
      </c>
    </row>
    <row r="11">
      <c r="A11" s="9" t="inlineStr">
        <is>
          <t>P010</t>
        </is>
      </c>
      <c r="B11" s="9" t="inlineStr">
        <is>
          <t>Ai桌面宠物</t>
        </is>
      </c>
      <c r="C11" s="9" t="inlineStr">
        <is>
          <t>Steam</t>
        </is>
      </c>
      <c r="D11" s="9" t="inlineStr">
        <is>
          <t>C:\Program Files (x86)\Steam\steamapps\common\AIDesktopPet</t>
        </is>
      </c>
      <c r="E11" s="9" t="inlineStr">
        <is>
          <t>AppID=4227700</t>
        </is>
      </c>
      <c r="F11" s="9" t="inlineStr">
        <is>
          <t>steam://rungameid/4227700</t>
        </is>
      </c>
      <c r="G11" s="9" t="inlineStr">
        <is>
          <t>AIDesktopPet</t>
        </is>
      </c>
      <c r="H11" s="9" t="inlineStr">
        <is>
          <t>AIDesktopPet 多进程；AI 功能可能拉起 python/pythonw/ffmpeg/node</t>
        </is>
      </c>
      <c r="I11" s="9" t="inlineStr">
        <is>
          <t>记录 AI/语音/联网/模型设置</t>
        </is>
      </c>
      <c r="J11" s="9" t="inlineStr">
        <is>
          <t>运行时确认：AIDesktopPet.exe 多进程</t>
        </is>
      </c>
      <c r="K11" s="9" t="inlineStr">
        <is>
          <t>AI / WebView / 多进程桌宠</t>
        </is>
      </c>
    </row>
    <row r="12">
      <c r="A12" s="6" t="inlineStr">
        <is>
          <t>P011</t>
        </is>
      </c>
      <c r="B12" s="6" t="inlineStr">
        <is>
          <t>角落里的艾果 Eggo</t>
        </is>
      </c>
      <c r="C12" s="6" t="inlineStr">
        <is>
          <t>Steam</t>
        </is>
      </c>
      <c r="D12" s="6" t="inlineStr">
        <is>
          <t>C:\Program Files (x86)\Steam\steamapps\common\Eggo</t>
        </is>
      </c>
      <c r="E12" s="6" t="inlineStr">
        <is>
          <t>AppID=3700760</t>
        </is>
      </c>
      <c r="F12" s="6" t="inlineStr">
        <is>
          <t>steam://rungameid/3700760</t>
        </is>
      </c>
      <c r="G12" s="6" t="inlineStr">
        <is>
          <t>Eggo</t>
        </is>
      </c>
      <c r="H12" s="6" t="inlineStr">
        <is>
          <t>未观察到固定子进程</t>
        </is>
      </c>
      <c r="I12" s="6" t="inlineStr">
        <is>
          <t>记录桌面常驻和交互配置</t>
        </is>
      </c>
      <c r="J12" s="6" t="inlineStr">
        <is>
          <t>运行时确认：Eggo.exe</t>
        </is>
      </c>
      <c r="K12" s="6" t="inlineStr">
        <is>
          <t>轻量 2D / WebView 桌宠</t>
        </is>
      </c>
    </row>
    <row r="13">
      <c r="A13" s="9" t="inlineStr">
        <is>
          <t>P012</t>
        </is>
      </c>
      <c r="B13" s="9" t="inlineStr">
        <is>
          <t>Molili Ai Friends: Ai 桌面宠物</t>
        </is>
      </c>
      <c r="C13" s="9" t="inlineStr">
        <is>
          <t>Steam</t>
        </is>
      </c>
      <c r="D13" s="9" t="inlineStr">
        <is>
          <t>C:\Program Files (x86)\Steam\steamapps\common\Molili</t>
        </is>
      </c>
      <c r="E13" s="9" t="inlineStr">
        <is>
          <t>AppID=4141770</t>
        </is>
      </c>
      <c r="F13" s="9" t="inlineStr">
        <is>
          <t>steam://rungameid/4141770</t>
        </is>
      </c>
      <c r="G13" s="9" t="inlineStr">
        <is>
          <t>Molili</t>
        </is>
      </c>
      <c r="H13" s="9" t="inlineStr">
        <is>
          <t>msedgewebview2</t>
        </is>
      </c>
      <c r="I13" s="9" t="inlineStr">
        <is>
          <t>记录 AI/语音/联网/模型设置</t>
        </is>
      </c>
      <c r="J13" s="9" t="inlineStr">
        <is>
          <t>运行时确认：Molili.exe；子进程 msedgewebview2.exe</t>
        </is>
      </c>
      <c r="K13" s="9" t="inlineStr">
        <is>
          <t>AI / WebView / 多进程桌宠</t>
        </is>
      </c>
    </row>
    <row r="14">
      <c r="A14" s="9" t="inlineStr">
        <is>
          <t>P013</t>
        </is>
      </c>
      <c r="B14" s="9" t="inlineStr">
        <is>
          <t>猫娘计划 - N.E.K.O</t>
        </is>
      </c>
      <c r="C14" s="9" t="inlineStr">
        <is>
          <t>Steam</t>
        </is>
      </c>
      <c r="D14" s="9" t="inlineStr">
        <is>
          <t>C:\Program Files (x86)\Steam\steamapps\common\n.e.k.o</t>
        </is>
      </c>
      <c r="E14" s="9" t="inlineStr">
        <is>
          <t>AppID=4099310</t>
        </is>
      </c>
      <c r="F14" s="9" t="inlineStr">
        <is>
          <t>steam://rungameid/4099310</t>
        </is>
      </c>
      <c r="G14" s="9" t="inlineStr">
        <is>
          <t>N.E.K.O</t>
        </is>
      </c>
      <c r="H14" s="9" t="inlineStr">
        <is>
          <t>N.E.K.O 多进程；projectneko_server/openfang</t>
        </is>
      </c>
      <c r="I14" s="9" t="inlineStr">
        <is>
          <t>记录桌面常驻、模型和交互配置</t>
        </is>
      </c>
      <c r="J14" s="9" t="inlineStr">
        <is>
          <t>运行时确认：N.E.K.O.exe 多进程；子进程 projectneko_server.exe、openfang.exe</t>
        </is>
      </c>
      <c r="K14" s="9" t="inlineStr">
        <is>
          <t>AI / WebView / 多进程桌宠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8" customWidth="1" min="3" max="3"/>
  </cols>
  <sheetData>
    <row r="1" ht="34" customHeight="1">
      <c r="A1" s="1" t="inlineStr">
        <is>
          <t>字段</t>
        </is>
      </c>
      <c r="B1" s="1" t="inlineStr">
        <is>
          <t>填写值</t>
        </is>
      </c>
      <c r="C1" s="1" t="inlineStr">
        <is>
          <t>说明</t>
        </is>
      </c>
    </row>
    <row r="2" ht="28" customHeight="1">
      <c r="A2" s="2" t="inlineStr">
        <is>
          <t>测试日期</t>
        </is>
      </c>
      <c r="B2" s="2" t="inlineStr"/>
      <c r="C2" s="2" t="inlineStr">
        <is>
          <t>格式：YYYY-MM-DD</t>
        </is>
      </c>
    </row>
    <row r="3" ht="28" customHeight="1">
      <c r="A3" s="2" t="inlineStr">
        <is>
          <t>测试人员</t>
        </is>
      </c>
      <c r="B3" s="2" t="inlineStr"/>
      <c r="C3" s="2" t="inlineStr"/>
    </row>
    <row r="4" ht="28" customHeight="1">
      <c r="A4" s="2" t="inlineStr">
        <is>
          <t>系统版本</t>
        </is>
      </c>
      <c r="B4" s="2" t="inlineStr">
        <is>
          <t>Windows</t>
        </is>
      </c>
      <c r="C4" s="2" t="inlineStr">
        <is>
          <t>例如 Windows 11 23H2</t>
        </is>
      </c>
    </row>
    <row r="5" ht="28" customHeight="1">
      <c r="A5" s="2" t="inlineStr">
        <is>
          <t>CPU</t>
        </is>
      </c>
      <c r="B5" s="2" t="inlineStr"/>
      <c r="C5" s="2" t="inlineStr">
        <is>
          <t>型号和核心数</t>
        </is>
      </c>
    </row>
    <row r="6" ht="28" customHeight="1">
      <c r="A6" s="2" t="inlineStr">
        <is>
          <t>GPU</t>
        </is>
      </c>
      <c r="B6" s="2" t="inlineStr"/>
      <c r="C6" s="2" t="inlineStr">
        <is>
          <t>独显/核显型号</t>
        </is>
      </c>
    </row>
    <row r="7" ht="28" customHeight="1">
      <c r="A7" s="2" t="inlineStr">
        <is>
          <t>内存</t>
        </is>
      </c>
      <c r="B7" s="2" t="inlineStr"/>
      <c r="C7" s="2" t="inlineStr">
        <is>
          <t>容量和频率</t>
        </is>
      </c>
    </row>
    <row r="8" ht="28" customHeight="1">
      <c r="A8" s="2" t="inlineStr">
        <is>
          <t>显示器</t>
        </is>
      </c>
      <c r="B8" s="2" t="inlineStr"/>
      <c r="C8" s="2" t="inlineStr">
        <is>
          <t>分辨率、刷新率、缩放比例、多屏情况</t>
        </is>
      </c>
    </row>
    <row r="9" ht="28" customHeight="1">
      <c r="A9" s="2" t="inlineStr">
        <is>
          <t>电源模式</t>
        </is>
      </c>
      <c r="B9" s="2" t="inlineStr"/>
      <c r="C9" s="2" t="inlineStr">
        <is>
          <t>平衡/最佳性能/节能</t>
        </is>
      </c>
    </row>
    <row r="10" ht="28" customHeight="1">
      <c r="A10" s="2" t="inlineStr">
        <is>
          <t>网络状态</t>
        </is>
      </c>
      <c r="B10" s="2" t="inlineStr"/>
      <c r="C10" s="2" t="inlineStr">
        <is>
          <t>有线/Wi-Fi/代理/离线</t>
        </is>
      </c>
    </row>
    <row r="11" ht="28" customHeight="1">
      <c r="A11" s="2" t="inlineStr">
        <is>
          <t>后台控制</t>
        </is>
      </c>
      <c r="B11" s="2" t="inlineStr"/>
      <c r="C11" s="2" t="inlineStr">
        <is>
          <t>关闭无关应用、暂停同步/下载</t>
        </is>
      </c>
    </row>
    <row r="12" ht="28" customHeight="1">
      <c r="A12" s="2" t="inlineStr">
        <is>
          <t>采样工具</t>
        </is>
      </c>
      <c r="B12" s="2" t="inlineStr"/>
      <c r="C12" s="2" t="inlineStr">
        <is>
          <t>typeperf/HWiNFO/PresentMon/FrameView 等</t>
        </is>
      </c>
    </row>
    <row r="13" ht="28" customHeight="1">
      <c r="A13" s="2" t="inlineStr">
        <is>
          <t>采样间隔</t>
        </is>
      </c>
      <c r="B13" s="2" t="inlineStr">
        <is>
          <t>1 秒</t>
        </is>
      </c>
      <c r="C13" s="2" t="inlineStr">
        <is>
          <t>建议统一 1 秒</t>
        </is>
      </c>
    </row>
    <row r="14" ht="28" customHeight="1">
      <c r="A14" s="2" t="inlineStr">
        <is>
          <t>系统基线说明</t>
        </is>
      </c>
      <c r="B14" s="2" t="inlineStr"/>
      <c r="C14" s="2" t="inlineStr">
        <is>
          <t>测试前 5 分钟背景占用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34" customHeight="1">
      <c r="A1" s="3" t="inlineStr">
        <is>
          <t>记录ID</t>
        </is>
      </c>
      <c r="B1" s="3" t="inlineStr">
        <is>
          <t>产品ID</t>
        </is>
      </c>
      <c r="C1" s="3" t="inlineStr">
        <is>
          <t>产品名称</t>
        </is>
      </c>
      <c r="D1" s="3" t="inlineStr">
        <is>
          <t>场景</t>
        </is>
      </c>
      <c r="E1" s="3" t="inlineStr">
        <is>
          <t>轮次</t>
        </is>
      </c>
      <c r="F1" s="3" t="inlineStr">
        <is>
          <t>开始时间</t>
        </is>
      </c>
      <c r="G1" s="3" t="inlineStr">
        <is>
          <t>结束时间</t>
        </is>
      </c>
      <c r="H1" s="3" t="inlineStr">
        <is>
          <t>时长分钟</t>
        </is>
      </c>
      <c r="I1" s="3" t="inlineStr">
        <is>
          <t>CPU平均%</t>
        </is>
      </c>
      <c r="J1" s="3" t="inlineStr">
        <is>
          <t>CPU P95%</t>
        </is>
      </c>
      <c r="K1" s="3" t="inlineStr">
        <is>
          <t>CPU最大%</t>
        </is>
      </c>
      <c r="L1" s="3" t="inlineStr">
        <is>
          <t>GPU平均%</t>
        </is>
      </c>
      <c r="M1" s="3" t="inlineStr">
        <is>
          <t>GPU P95%</t>
        </is>
      </c>
      <c r="N1" s="3" t="inlineStr">
        <is>
          <t>GPU最大%</t>
        </is>
      </c>
      <c r="O1" s="3" t="inlineStr">
        <is>
          <t>内存平均MB</t>
        </is>
      </c>
      <c r="P1" s="3" t="inlineStr">
        <is>
          <t>内存最大MB</t>
        </is>
      </c>
      <c r="Q1" s="3" t="inlineStr">
        <is>
          <t>显存平均MB</t>
        </is>
      </c>
      <c r="R1" s="3" t="inlineStr">
        <is>
          <t>显存最大MB</t>
        </is>
      </c>
      <c r="S1" s="3" t="inlineStr">
        <is>
          <t>句柄增长</t>
        </is>
      </c>
      <c r="T1" s="3" t="inlineStr">
        <is>
          <t>线程增长</t>
        </is>
      </c>
      <c r="U1" s="3" t="inlineStr">
        <is>
          <t>FPS平均</t>
        </is>
      </c>
      <c r="V1" s="3" t="inlineStr">
        <is>
          <t>1% Low</t>
        </is>
      </c>
      <c r="W1" s="3" t="inlineStr">
        <is>
          <t>帧时间P95ms</t>
        </is>
      </c>
      <c r="X1" s="3" t="inlineStr">
        <is>
          <t>功耗W</t>
        </is>
      </c>
      <c r="Y1" s="3" t="inlineStr">
        <is>
          <t>最高温度C</t>
        </is>
      </c>
      <c r="Z1" s="3" t="inlineStr">
        <is>
          <t>体验评分1-5</t>
        </is>
      </c>
      <c r="AA1" s="3" t="inlineStr">
        <is>
          <t>风险等级</t>
        </is>
      </c>
      <c r="AB1" s="3" t="inlineStr">
        <is>
          <t>现象/备注</t>
        </is>
      </c>
    </row>
    <row r="2" ht="28" customHeight="1">
      <c r="A2" s="6" t="inlineStr">
        <is>
          <t>R001</t>
        </is>
      </c>
      <c r="B2" s="6" t="inlineStr">
        <is>
          <t>P001</t>
        </is>
      </c>
      <c r="C2" s="6" t="inlineStr">
        <is>
          <t>BongoCat</t>
        </is>
      </c>
      <c r="D2" s="6" t="inlineStr">
        <is>
          <t>系统基线</t>
        </is>
      </c>
      <c r="E2" s="6" t="n">
        <v>1</v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 ht="28" customHeight="1">
      <c r="A3" s="6" t="inlineStr">
        <is>
          <t>R002</t>
        </is>
      </c>
      <c r="B3" s="6" t="inlineStr">
        <is>
          <t>P001</t>
        </is>
      </c>
      <c r="C3" s="6" t="inlineStr">
        <is>
          <t>BongoCat</t>
        </is>
      </c>
      <c r="D3" s="6" t="inlineStr">
        <is>
          <t>启动峰值</t>
        </is>
      </c>
      <c r="E3" s="6" t="n">
        <v>1</v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</row>
    <row r="4" ht="28" customHeight="1">
      <c r="A4" s="6" t="inlineStr">
        <is>
          <t>R003</t>
        </is>
      </c>
      <c r="B4" s="6" t="inlineStr">
        <is>
          <t>P001</t>
        </is>
      </c>
      <c r="C4" s="6" t="inlineStr">
        <is>
          <t>BongoCat</t>
        </is>
      </c>
      <c r="D4" s="6" t="inlineStr">
        <is>
          <t>空闲常驻</t>
        </is>
      </c>
      <c r="E4" s="6" t="n">
        <v>1</v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5" ht="28" customHeight="1">
      <c r="A5" s="6" t="inlineStr">
        <is>
          <t>R004</t>
        </is>
      </c>
      <c r="B5" s="6" t="inlineStr">
        <is>
          <t>P001</t>
        </is>
      </c>
      <c r="C5" s="6" t="inlineStr">
        <is>
          <t>BongoCat</t>
        </is>
      </c>
      <c r="D5" s="6" t="inlineStr">
        <is>
          <t>基础交互</t>
        </is>
      </c>
      <c r="E5" s="6" t="n">
        <v>1</v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</row>
    <row r="6" ht="28" customHeight="1">
      <c r="A6" s="6" t="inlineStr">
        <is>
          <t>R005</t>
        </is>
      </c>
      <c r="B6" s="6" t="inlineStr">
        <is>
          <t>P001</t>
        </is>
      </c>
      <c r="C6" s="6" t="inlineStr">
        <is>
          <t>BongoCat</t>
        </is>
      </c>
      <c r="D6" s="6" t="inlineStr">
        <is>
          <t>功能开启</t>
        </is>
      </c>
      <c r="E6" s="6" t="n">
        <v>1</v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</row>
    <row r="7" ht="28" customHeight="1">
      <c r="A7" s="6" t="inlineStr">
        <is>
          <t>R006</t>
        </is>
      </c>
      <c r="B7" s="6" t="inlineStr">
        <is>
          <t>P001</t>
        </is>
      </c>
      <c r="C7" s="6" t="inlineStr">
        <is>
          <t>BongoCat</t>
        </is>
      </c>
      <c r="D7" s="6" t="inlineStr">
        <is>
          <t>长时间稳定</t>
        </is>
      </c>
      <c r="E7" s="6" t="n">
        <v>1</v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</row>
    <row r="8" ht="28" customHeight="1">
      <c r="A8" s="6" t="inlineStr">
        <is>
          <t>R007</t>
        </is>
      </c>
      <c r="B8" s="6" t="inlineStr">
        <is>
          <t>P001</t>
        </is>
      </c>
      <c r="C8" s="6" t="inlineStr">
        <is>
          <t>BongoCat</t>
        </is>
      </c>
      <c r="D8" s="6" t="inlineStr">
        <is>
          <t>游戏影响</t>
        </is>
      </c>
      <c r="E8" s="6" t="n">
        <v>1</v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</row>
    <row r="9" ht="28" customHeight="1">
      <c r="A9" s="7" t="inlineStr">
        <is>
          <t>R008</t>
        </is>
      </c>
      <c r="B9" s="7" t="inlineStr">
        <is>
          <t>P002</t>
        </is>
      </c>
      <c r="C9" s="7" t="inlineStr">
        <is>
          <t>Desktop Mate</t>
        </is>
      </c>
      <c r="D9" s="7" t="inlineStr">
        <is>
          <t>系统基线</t>
        </is>
      </c>
      <c r="E9" s="7" t="n">
        <v>1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  <row r="10" ht="28" customHeight="1">
      <c r="A10" s="7" t="inlineStr">
        <is>
          <t>R009</t>
        </is>
      </c>
      <c r="B10" s="7" t="inlineStr">
        <is>
          <t>P002</t>
        </is>
      </c>
      <c r="C10" s="7" t="inlineStr">
        <is>
          <t>Desktop Mate</t>
        </is>
      </c>
      <c r="D10" s="7" t="inlineStr">
        <is>
          <t>启动峰值</t>
        </is>
      </c>
      <c r="E10" s="7" t="n">
        <v>1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</row>
    <row r="11" ht="28" customHeight="1">
      <c r="A11" s="7" t="inlineStr">
        <is>
          <t>R010</t>
        </is>
      </c>
      <c r="B11" s="7" t="inlineStr">
        <is>
          <t>P002</t>
        </is>
      </c>
      <c r="C11" s="7" t="inlineStr">
        <is>
          <t>Desktop Mate</t>
        </is>
      </c>
      <c r="D11" s="7" t="inlineStr">
        <is>
          <t>空闲常驻</t>
        </is>
      </c>
      <c r="E11" s="7" t="n">
        <v>1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</row>
    <row r="12" ht="28" customHeight="1">
      <c r="A12" s="7" t="inlineStr">
        <is>
          <t>R011</t>
        </is>
      </c>
      <c r="B12" s="7" t="inlineStr">
        <is>
          <t>P002</t>
        </is>
      </c>
      <c r="C12" s="7" t="inlineStr">
        <is>
          <t>Desktop Mate</t>
        </is>
      </c>
      <c r="D12" s="7" t="inlineStr">
        <is>
          <t>基础交互</t>
        </is>
      </c>
      <c r="E12" s="7" t="n">
        <v>1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</row>
    <row r="13" ht="28" customHeight="1">
      <c r="A13" s="7" t="inlineStr">
        <is>
          <t>R012</t>
        </is>
      </c>
      <c r="B13" s="7" t="inlineStr">
        <is>
          <t>P002</t>
        </is>
      </c>
      <c r="C13" s="7" t="inlineStr">
        <is>
          <t>Desktop Mate</t>
        </is>
      </c>
      <c r="D13" s="7" t="inlineStr">
        <is>
          <t>功能开启</t>
        </is>
      </c>
      <c r="E13" s="7" t="n">
        <v>1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</row>
    <row r="14" ht="28" customHeight="1">
      <c r="A14" s="7" t="inlineStr">
        <is>
          <t>R013</t>
        </is>
      </c>
      <c r="B14" s="7" t="inlineStr">
        <is>
          <t>P002</t>
        </is>
      </c>
      <c r="C14" s="7" t="inlineStr">
        <is>
          <t>Desktop Mate</t>
        </is>
      </c>
      <c r="D14" s="7" t="inlineStr">
        <is>
          <t>长时间稳定</t>
        </is>
      </c>
      <c r="E14" s="7" t="n">
        <v>1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</row>
    <row r="15" ht="28" customHeight="1">
      <c r="A15" s="7" t="inlineStr">
        <is>
          <t>R014</t>
        </is>
      </c>
      <c r="B15" s="7" t="inlineStr">
        <is>
          <t>P002</t>
        </is>
      </c>
      <c r="C15" s="7" t="inlineStr">
        <is>
          <t>Desktop Mate</t>
        </is>
      </c>
      <c r="D15" s="7" t="inlineStr">
        <is>
          <t>游戏影响</t>
        </is>
      </c>
      <c r="E15" s="7" t="n">
        <v>1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</row>
    <row r="16" ht="28" customHeight="1">
      <c r="A16" s="6" t="inlineStr">
        <is>
          <t>R015</t>
        </is>
      </c>
      <c r="B16" s="6" t="inlineStr">
        <is>
          <t>P003</t>
        </is>
      </c>
      <c r="C16" s="6" t="inlineStr">
        <is>
          <t>VPet-Simulator</t>
        </is>
      </c>
      <c r="D16" s="6" t="inlineStr">
        <is>
          <t>系统基线</t>
        </is>
      </c>
      <c r="E16" s="6" t="n">
        <v>1</v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</row>
    <row r="17" ht="28" customHeight="1">
      <c r="A17" s="6" t="inlineStr">
        <is>
          <t>R016</t>
        </is>
      </c>
      <c r="B17" s="6" t="inlineStr">
        <is>
          <t>P003</t>
        </is>
      </c>
      <c r="C17" s="6" t="inlineStr">
        <is>
          <t>VPet-Simulator</t>
        </is>
      </c>
      <c r="D17" s="6" t="inlineStr">
        <is>
          <t>启动峰值</t>
        </is>
      </c>
      <c r="E17" s="6" t="n">
        <v>1</v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</row>
    <row r="18" ht="28" customHeight="1">
      <c r="A18" s="6" t="inlineStr">
        <is>
          <t>R017</t>
        </is>
      </c>
      <c r="B18" s="6" t="inlineStr">
        <is>
          <t>P003</t>
        </is>
      </c>
      <c r="C18" s="6" t="inlineStr">
        <is>
          <t>VPet-Simulator</t>
        </is>
      </c>
      <c r="D18" s="6" t="inlineStr">
        <is>
          <t>空闲常驻</t>
        </is>
      </c>
      <c r="E18" s="6" t="n">
        <v>1</v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</row>
    <row r="19" ht="28" customHeight="1">
      <c r="A19" s="6" t="inlineStr">
        <is>
          <t>R018</t>
        </is>
      </c>
      <c r="B19" s="6" t="inlineStr">
        <is>
          <t>P003</t>
        </is>
      </c>
      <c r="C19" s="6" t="inlineStr">
        <is>
          <t>VPet-Simulator</t>
        </is>
      </c>
      <c r="D19" s="6" t="inlineStr">
        <is>
          <t>基础交互</t>
        </is>
      </c>
      <c r="E19" s="6" t="n">
        <v>1</v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</row>
    <row r="20" ht="28" customHeight="1">
      <c r="A20" s="6" t="inlineStr">
        <is>
          <t>R019</t>
        </is>
      </c>
      <c r="B20" s="6" t="inlineStr">
        <is>
          <t>P003</t>
        </is>
      </c>
      <c r="C20" s="6" t="inlineStr">
        <is>
          <t>VPet-Simulator</t>
        </is>
      </c>
      <c r="D20" s="6" t="inlineStr">
        <is>
          <t>功能开启</t>
        </is>
      </c>
      <c r="E20" s="6" t="n">
        <v>1</v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</row>
    <row r="21" ht="28" customHeight="1">
      <c r="A21" s="6" t="inlineStr">
        <is>
          <t>R020</t>
        </is>
      </c>
      <c r="B21" s="6" t="inlineStr">
        <is>
          <t>P003</t>
        </is>
      </c>
      <c r="C21" s="6" t="inlineStr">
        <is>
          <t>VPet-Simulator</t>
        </is>
      </c>
      <c r="D21" s="6" t="inlineStr">
        <is>
          <t>长时间稳定</t>
        </is>
      </c>
      <c r="E21" s="6" t="n">
        <v>1</v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</row>
    <row r="22" ht="28" customHeight="1">
      <c r="A22" s="6" t="inlineStr">
        <is>
          <t>R021</t>
        </is>
      </c>
      <c r="B22" s="6" t="inlineStr">
        <is>
          <t>P003</t>
        </is>
      </c>
      <c r="C22" s="6" t="inlineStr">
        <is>
          <t>VPet-Simulator</t>
        </is>
      </c>
      <c r="D22" s="6" t="inlineStr">
        <is>
          <t>游戏影响</t>
        </is>
      </c>
      <c r="E22" s="6" t="n">
        <v>1</v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</row>
    <row r="23">
      <c r="A23" s="8" t="inlineStr">
        <is>
          <t>R022</t>
        </is>
      </c>
      <c r="B23" s="8" t="inlineStr">
        <is>
          <t>P004</t>
        </is>
      </c>
      <c r="C23" s="8" t="inlineStr">
        <is>
          <t>Desktop Goose</t>
        </is>
      </c>
      <c r="D23" s="8" t="inlineStr">
        <is>
          <t>系统基线</t>
        </is>
      </c>
      <c r="E23" s="8" t="n">
        <v>1</v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</row>
    <row r="24">
      <c r="A24" s="8" t="inlineStr">
        <is>
          <t>R023</t>
        </is>
      </c>
      <c r="B24" s="8" t="inlineStr">
        <is>
          <t>P004</t>
        </is>
      </c>
      <c r="C24" s="8" t="inlineStr">
        <is>
          <t>Desktop Goose</t>
        </is>
      </c>
      <c r="D24" s="8" t="inlineStr">
        <is>
          <t>启动峰值</t>
        </is>
      </c>
      <c r="E24" s="8" t="n">
        <v>1</v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</row>
    <row r="25">
      <c r="A25" s="8" t="inlineStr">
        <is>
          <t>R024</t>
        </is>
      </c>
      <c r="B25" s="8" t="inlineStr">
        <is>
          <t>P004</t>
        </is>
      </c>
      <c r="C25" s="8" t="inlineStr">
        <is>
          <t>Desktop Goose</t>
        </is>
      </c>
      <c r="D25" s="8" t="inlineStr">
        <is>
          <t>空闲常驻</t>
        </is>
      </c>
      <c r="E25" s="8" t="n">
        <v>1</v>
      </c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</row>
    <row r="26">
      <c r="A26" s="8" t="inlineStr">
        <is>
          <t>R025</t>
        </is>
      </c>
      <c r="B26" s="8" t="inlineStr">
        <is>
          <t>P004</t>
        </is>
      </c>
      <c r="C26" s="8" t="inlineStr">
        <is>
          <t>Desktop Goose</t>
        </is>
      </c>
      <c r="D26" s="8" t="inlineStr">
        <is>
          <t>基础交互</t>
        </is>
      </c>
      <c r="E26" s="8" t="n">
        <v>1</v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</row>
    <row r="27">
      <c r="A27" s="8" t="inlineStr">
        <is>
          <t>R026</t>
        </is>
      </c>
      <c r="B27" s="8" t="inlineStr">
        <is>
          <t>P004</t>
        </is>
      </c>
      <c r="C27" s="8" t="inlineStr">
        <is>
          <t>Desktop Goose</t>
        </is>
      </c>
      <c r="D27" s="8" t="inlineStr">
        <is>
          <t>功能开启</t>
        </is>
      </c>
      <c r="E27" s="8" t="n">
        <v>1</v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</row>
    <row r="28">
      <c r="A28" s="8" t="inlineStr">
        <is>
          <t>R027</t>
        </is>
      </c>
      <c r="B28" s="8" t="inlineStr">
        <is>
          <t>P004</t>
        </is>
      </c>
      <c r="C28" s="8" t="inlineStr">
        <is>
          <t>Desktop Goose</t>
        </is>
      </c>
      <c r="D28" s="8" t="inlineStr">
        <is>
          <t>长时间稳定</t>
        </is>
      </c>
      <c r="E28" s="8" t="n">
        <v>1</v>
      </c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</row>
    <row r="29">
      <c r="A29" s="8" t="inlineStr">
        <is>
          <t>R028</t>
        </is>
      </c>
      <c r="B29" s="8" t="inlineStr">
        <is>
          <t>P004</t>
        </is>
      </c>
      <c r="C29" s="8" t="inlineStr">
        <is>
          <t>Desktop Goose</t>
        </is>
      </c>
      <c r="D29" s="8" t="inlineStr">
        <is>
          <t>游戏影响</t>
        </is>
      </c>
      <c r="E29" s="8" t="n">
        <v>1</v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</row>
    <row r="30">
      <c r="A30" s="9" t="inlineStr">
        <is>
          <t>R029</t>
        </is>
      </c>
      <c r="B30" s="9" t="inlineStr">
        <is>
          <t>P005</t>
        </is>
      </c>
      <c r="C30" s="9" t="inlineStr">
        <is>
          <t>Ai Vpet</t>
        </is>
      </c>
      <c r="D30" s="9" t="inlineStr">
        <is>
          <t>系统基线</t>
        </is>
      </c>
      <c r="E30" s="9" t="n">
        <v>1</v>
      </c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</row>
    <row r="31">
      <c r="A31" s="9" t="inlineStr">
        <is>
          <t>R030</t>
        </is>
      </c>
      <c r="B31" s="9" t="inlineStr">
        <is>
          <t>P005</t>
        </is>
      </c>
      <c r="C31" s="9" t="inlineStr">
        <is>
          <t>Ai Vpet</t>
        </is>
      </c>
      <c r="D31" s="9" t="inlineStr">
        <is>
          <t>启动峰值</t>
        </is>
      </c>
      <c r="E31" s="9" t="n">
        <v>1</v>
      </c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</row>
    <row r="32">
      <c r="A32" s="9" t="inlineStr">
        <is>
          <t>R031</t>
        </is>
      </c>
      <c r="B32" s="9" t="inlineStr">
        <is>
          <t>P005</t>
        </is>
      </c>
      <c r="C32" s="9" t="inlineStr">
        <is>
          <t>Ai Vpet</t>
        </is>
      </c>
      <c r="D32" s="9" t="inlineStr">
        <is>
          <t>空闲常驻</t>
        </is>
      </c>
      <c r="E32" s="9" t="n">
        <v>1</v>
      </c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</row>
    <row r="33">
      <c r="A33" s="9" t="inlineStr">
        <is>
          <t>R032</t>
        </is>
      </c>
      <c r="B33" s="9" t="inlineStr">
        <is>
          <t>P005</t>
        </is>
      </c>
      <c r="C33" s="9" t="inlineStr">
        <is>
          <t>Ai Vpet</t>
        </is>
      </c>
      <c r="D33" s="9" t="inlineStr">
        <is>
          <t>基础交互</t>
        </is>
      </c>
      <c r="E33" s="9" t="n">
        <v>1</v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</row>
    <row r="34">
      <c r="A34" s="9" t="inlineStr">
        <is>
          <t>R033</t>
        </is>
      </c>
      <c r="B34" s="9" t="inlineStr">
        <is>
          <t>P005</t>
        </is>
      </c>
      <c r="C34" s="9" t="inlineStr">
        <is>
          <t>Ai Vpet</t>
        </is>
      </c>
      <c r="D34" s="9" t="inlineStr">
        <is>
          <t>功能开启</t>
        </is>
      </c>
      <c r="E34" s="9" t="n">
        <v>1</v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</row>
    <row r="35">
      <c r="A35" s="9" t="inlineStr">
        <is>
          <t>R034</t>
        </is>
      </c>
      <c r="B35" s="9" t="inlineStr">
        <is>
          <t>P005</t>
        </is>
      </c>
      <c r="C35" s="9" t="inlineStr">
        <is>
          <t>Ai Vpet</t>
        </is>
      </c>
      <c r="D35" s="9" t="inlineStr">
        <is>
          <t>长时间稳定</t>
        </is>
      </c>
      <c r="E35" s="9" t="n">
        <v>1</v>
      </c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</row>
    <row r="36">
      <c r="A36" s="9" t="inlineStr">
        <is>
          <t>R035</t>
        </is>
      </c>
      <c r="B36" s="9" t="inlineStr">
        <is>
          <t>P005</t>
        </is>
      </c>
      <c r="C36" s="9" t="inlineStr">
        <is>
          <t>Ai Vpet</t>
        </is>
      </c>
      <c r="D36" s="9" t="inlineStr">
        <is>
          <t>游戏影响</t>
        </is>
      </c>
      <c r="E36" s="9" t="n">
        <v>1</v>
      </c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</row>
    <row r="37">
      <c r="A37" s="6" t="inlineStr">
        <is>
          <t>R036</t>
        </is>
      </c>
      <c r="B37" s="6" t="inlineStr">
        <is>
          <t>P006</t>
        </is>
      </c>
      <c r="C37" s="6" t="inlineStr">
        <is>
          <t>Tiny Pasture</t>
        </is>
      </c>
      <c r="D37" s="6" t="inlineStr">
        <is>
          <t>系统基线</t>
        </is>
      </c>
      <c r="E37" s="6" t="n">
        <v>1</v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</row>
    <row r="38">
      <c r="A38" s="6" t="inlineStr">
        <is>
          <t>R037</t>
        </is>
      </c>
      <c r="B38" s="6" t="inlineStr">
        <is>
          <t>P006</t>
        </is>
      </c>
      <c r="C38" s="6" t="inlineStr">
        <is>
          <t>Tiny Pasture</t>
        </is>
      </c>
      <c r="D38" s="6" t="inlineStr">
        <is>
          <t>启动峰值</t>
        </is>
      </c>
      <c r="E38" s="6" t="n">
        <v>1</v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</row>
    <row r="39">
      <c r="A39" s="6" t="inlineStr">
        <is>
          <t>R038</t>
        </is>
      </c>
      <c r="B39" s="6" t="inlineStr">
        <is>
          <t>P006</t>
        </is>
      </c>
      <c r="C39" s="6" t="inlineStr">
        <is>
          <t>Tiny Pasture</t>
        </is>
      </c>
      <c r="D39" s="6" t="inlineStr">
        <is>
          <t>空闲常驻</t>
        </is>
      </c>
      <c r="E39" s="6" t="n">
        <v>1</v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</row>
    <row r="40">
      <c r="A40" s="6" t="inlineStr">
        <is>
          <t>R039</t>
        </is>
      </c>
      <c r="B40" s="6" t="inlineStr">
        <is>
          <t>P006</t>
        </is>
      </c>
      <c r="C40" s="6" t="inlineStr">
        <is>
          <t>Tiny Pasture</t>
        </is>
      </c>
      <c r="D40" s="6" t="inlineStr">
        <is>
          <t>基础交互</t>
        </is>
      </c>
      <c r="E40" s="6" t="n">
        <v>1</v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</row>
    <row r="41">
      <c r="A41" s="6" t="inlineStr">
        <is>
          <t>R040</t>
        </is>
      </c>
      <c r="B41" s="6" t="inlineStr">
        <is>
          <t>P006</t>
        </is>
      </c>
      <c r="C41" s="6" t="inlineStr">
        <is>
          <t>Tiny Pasture</t>
        </is>
      </c>
      <c r="D41" s="6" t="inlineStr">
        <is>
          <t>功能开启</t>
        </is>
      </c>
      <c r="E41" s="6" t="n">
        <v>1</v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</row>
    <row r="42">
      <c r="A42" s="6" t="inlineStr">
        <is>
          <t>R041</t>
        </is>
      </c>
      <c r="B42" s="6" t="inlineStr">
        <is>
          <t>P006</t>
        </is>
      </c>
      <c r="C42" s="6" t="inlineStr">
        <is>
          <t>Tiny Pasture</t>
        </is>
      </c>
      <c r="D42" s="6" t="inlineStr">
        <is>
          <t>长时间稳定</t>
        </is>
      </c>
      <c r="E42" s="6" t="n">
        <v>1</v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</row>
    <row r="43">
      <c r="A43" s="6" t="inlineStr">
        <is>
          <t>R042</t>
        </is>
      </c>
      <c r="B43" s="6" t="inlineStr">
        <is>
          <t>P006</t>
        </is>
      </c>
      <c r="C43" s="6" t="inlineStr">
        <is>
          <t>Tiny Pasture</t>
        </is>
      </c>
      <c r="D43" s="6" t="inlineStr">
        <is>
          <t>游戏影响</t>
        </is>
      </c>
      <c r="E43" s="6" t="n">
        <v>1</v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</row>
    <row r="44">
      <c r="A44" s="7" t="inlineStr">
        <is>
          <t>R043</t>
        </is>
      </c>
      <c r="B44" s="7" t="inlineStr">
        <is>
          <t>P007</t>
        </is>
      </c>
      <c r="C44" s="7" t="inlineStr">
        <is>
          <t>Pocket Waifu:Desktop Pet</t>
        </is>
      </c>
      <c r="D44" s="7" t="inlineStr">
        <is>
          <t>系统基线</t>
        </is>
      </c>
      <c r="E44" s="7" t="n">
        <v>1</v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</row>
    <row r="45">
      <c r="A45" s="7" t="inlineStr">
        <is>
          <t>R044</t>
        </is>
      </c>
      <c r="B45" s="7" t="inlineStr">
        <is>
          <t>P007</t>
        </is>
      </c>
      <c r="C45" s="7" t="inlineStr">
        <is>
          <t>Pocket Waifu:Desktop Pet</t>
        </is>
      </c>
      <c r="D45" s="7" t="inlineStr">
        <is>
          <t>启动峰值</t>
        </is>
      </c>
      <c r="E45" s="7" t="n">
        <v>1</v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</row>
    <row r="46">
      <c r="A46" s="7" t="inlineStr">
        <is>
          <t>R045</t>
        </is>
      </c>
      <c r="B46" s="7" t="inlineStr">
        <is>
          <t>P007</t>
        </is>
      </c>
      <c r="C46" s="7" t="inlineStr">
        <is>
          <t>Pocket Waifu:Desktop Pet</t>
        </is>
      </c>
      <c r="D46" s="7" t="inlineStr">
        <is>
          <t>空闲常驻</t>
        </is>
      </c>
      <c r="E46" s="7" t="n">
        <v>1</v>
      </c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</row>
    <row r="47">
      <c r="A47" s="7" t="inlineStr">
        <is>
          <t>R046</t>
        </is>
      </c>
      <c r="B47" s="7" t="inlineStr">
        <is>
          <t>P007</t>
        </is>
      </c>
      <c r="C47" s="7" t="inlineStr">
        <is>
          <t>Pocket Waifu:Desktop Pet</t>
        </is>
      </c>
      <c r="D47" s="7" t="inlineStr">
        <is>
          <t>基础交互</t>
        </is>
      </c>
      <c r="E47" s="7" t="n">
        <v>1</v>
      </c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</row>
    <row r="48">
      <c r="A48" s="7" t="inlineStr">
        <is>
          <t>R047</t>
        </is>
      </c>
      <c r="B48" s="7" t="inlineStr">
        <is>
          <t>P007</t>
        </is>
      </c>
      <c r="C48" s="7" t="inlineStr">
        <is>
          <t>Pocket Waifu:Desktop Pet</t>
        </is>
      </c>
      <c r="D48" s="7" t="inlineStr">
        <is>
          <t>功能开启</t>
        </is>
      </c>
      <c r="E48" s="7" t="n">
        <v>1</v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</row>
    <row r="49">
      <c r="A49" s="7" t="inlineStr">
        <is>
          <t>R048</t>
        </is>
      </c>
      <c r="B49" s="7" t="inlineStr">
        <is>
          <t>P007</t>
        </is>
      </c>
      <c r="C49" s="7" t="inlineStr">
        <is>
          <t>Pocket Waifu:Desktop Pet</t>
        </is>
      </c>
      <c r="D49" s="7" t="inlineStr">
        <is>
          <t>长时间稳定</t>
        </is>
      </c>
      <c r="E49" s="7" t="n">
        <v>1</v>
      </c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</row>
    <row r="50">
      <c r="A50" s="7" t="inlineStr">
        <is>
          <t>R049</t>
        </is>
      </c>
      <c r="B50" s="7" t="inlineStr">
        <is>
          <t>P007</t>
        </is>
      </c>
      <c r="C50" s="7" t="inlineStr">
        <is>
          <t>Pocket Waifu:Desktop Pet</t>
        </is>
      </c>
      <c r="D50" s="7" t="inlineStr">
        <is>
          <t>游戏影响</t>
        </is>
      </c>
      <c r="E50" s="7" t="n">
        <v>1</v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</row>
    <row r="51">
      <c r="A51" s="10" t="inlineStr">
        <is>
          <t>R050</t>
        </is>
      </c>
      <c r="B51" s="10" t="inlineStr">
        <is>
          <t>P008</t>
        </is>
      </c>
      <c r="C51" s="10" t="inlineStr">
        <is>
          <t>Rusty's Retirement</t>
        </is>
      </c>
      <c r="D51" s="10" t="inlineStr">
        <is>
          <t>系统基线</t>
        </is>
      </c>
      <c r="E51" s="10" t="n">
        <v>1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</row>
    <row r="52">
      <c r="A52" s="10" t="inlineStr">
        <is>
          <t>R051</t>
        </is>
      </c>
      <c r="B52" s="10" t="inlineStr">
        <is>
          <t>P008</t>
        </is>
      </c>
      <c r="C52" s="10" t="inlineStr">
        <is>
          <t>Rusty's Retirement</t>
        </is>
      </c>
      <c r="D52" s="10" t="inlineStr">
        <is>
          <t>启动峰值</t>
        </is>
      </c>
      <c r="E52" s="10" t="n">
        <v>1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</row>
    <row r="53">
      <c r="A53" s="10" t="inlineStr">
        <is>
          <t>R052</t>
        </is>
      </c>
      <c r="B53" s="10" t="inlineStr">
        <is>
          <t>P008</t>
        </is>
      </c>
      <c r="C53" s="10" t="inlineStr">
        <is>
          <t>Rusty's Retirement</t>
        </is>
      </c>
      <c r="D53" s="10" t="inlineStr">
        <is>
          <t>空闲常驻</t>
        </is>
      </c>
      <c r="E53" s="10" t="n">
        <v>1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</row>
    <row r="54">
      <c r="A54" s="10" t="inlineStr">
        <is>
          <t>R053</t>
        </is>
      </c>
      <c r="B54" s="10" t="inlineStr">
        <is>
          <t>P008</t>
        </is>
      </c>
      <c r="C54" s="10" t="inlineStr">
        <is>
          <t>Rusty's Retirement</t>
        </is>
      </c>
      <c r="D54" s="10" t="inlineStr">
        <is>
          <t>基础交互</t>
        </is>
      </c>
      <c r="E54" s="10" t="n">
        <v>1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</row>
    <row r="55">
      <c r="A55" s="10" t="inlineStr">
        <is>
          <t>R054</t>
        </is>
      </c>
      <c r="B55" s="10" t="inlineStr">
        <is>
          <t>P008</t>
        </is>
      </c>
      <c r="C55" s="10" t="inlineStr">
        <is>
          <t>Rusty's Retirement</t>
        </is>
      </c>
      <c r="D55" s="10" t="inlineStr">
        <is>
          <t>功能开启</t>
        </is>
      </c>
      <c r="E55" s="10" t="n">
        <v>1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</row>
    <row r="56">
      <c r="A56" s="10" t="inlineStr">
        <is>
          <t>R055</t>
        </is>
      </c>
      <c r="B56" s="10" t="inlineStr">
        <is>
          <t>P008</t>
        </is>
      </c>
      <c r="C56" s="10" t="inlineStr">
        <is>
          <t>Rusty's Retirement</t>
        </is>
      </c>
      <c r="D56" s="10" t="inlineStr">
        <is>
          <t>长时间稳定</t>
        </is>
      </c>
      <c r="E56" s="10" t="n">
        <v>1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</row>
    <row r="57">
      <c r="A57" s="10" t="inlineStr">
        <is>
          <t>R056</t>
        </is>
      </c>
      <c r="B57" s="10" t="inlineStr">
        <is>
          <t>P008</t>
        </is>
      </c>
      <c r="C57" s="10" t="inlineStr">
        <is>
          <t>Rusty's Retirement</t>
        </is>
      </c>
      <c r="D57" s="10" t="inlineStr">
        <is>
          <t>游戏影响</t>
        </is>
      </c>
      <c r="E57" s="10" t="n">
        <v>1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</row>
    <row r="58">
      <c r="A58" s="7" t="inlineStr">
        <is>
          <t>R057</t>
        </is>
      </c>
      <c r="B58" s="7" t="inlineStr">
        <is>
          <t>P009</t>
        </is>
      </c>
      <c r="C58" s="7" t="inlineStr">
        <is>
          <t>MateEngine</t>
        </is>
      </c>
      <c r="D58" s="7" t="inlineStr">
        <is>
          <t>系统基线</t>
        </is>
      </c>
      <c r="E58" s="7" t="n">
        <v>1</v>
      </c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</row>
    <row r="59">
      <c r="A59" s="7" t="inlineStr">
        <is>
          <t>R058</t>
        </is>
      </c>
      <c r="B59" s="7" t="inlineStr">
        <is>
          <t>P009</t>
        </is>
      </c>
      <c r="C59" s="7" t="inlineStr">
        <is>
          <t>MateEngine</t>
        </is>
      </c>
      <c r="D59" s="7" t="inlineStr">
        <is>
          <t>启动峰值</t>
        </is>
      </c>
      <c r="E59" s="7" t="n">
        <v>1</v>
      </c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</row>
    <row r="60">
      <c r="A60" s="7" t="inlineStr">
        <is>
          <t>R059</t>
        </is>
      </c>
      <c r="B60" s="7" t="inlineStr">
        <is>
          <t>P009</t>
        </is>
      </c>
      <c r="C60" s="7" t="inlineStr">
        <is>
          <t>MateEngine</t>
        </is>
      </c>
      <c r="D60" s="7" t="inlineStr">
        <is>
          <t>空闲常驻</t>
        </is>
      </c>
      <c r="E60" s="7" t="n">
        <v>1</v>
      </c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</row>
    <row r="61">
      <c r="A61" s="7" t="inlineStr">
        <is>
          <t>R060</t>
        </is>
      </c>
      <c r="B61" s="7" t="inlineStr">
        <is>
          <t>P009</t>
        </is>
      </c>
      <c r="C61" s="7" t="inlineStr">
        <is>
          <t>MateEngine</t>
        </is>
      </c>
      <c r="D61" s="7" t="inlineStr">
        <is>
          <t>基础交互</t>
        </is>
      </c>
      <c r="E61" s="7" t="n">
        <v>1</v>
      </c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</row>
    <row r="62">
      <c r="A62" s="7" t="inlineStr">
        <is>
          <t>R061</t>
        </is>
      </c>
      <c r="B62" s="7" t="inlineStr">
        <is>
          <t>P009</t>
        </is>
      </c>
      <c r="C62" s="7" t="inlineStr">
        <is>
          <t>MateEngine</t>
        </is>
      </c>
      <c r="D62" s="7" t="inlineStr">
        <is>
          <t>功能开启</t>
        </is>
      </c>
      <c r="E62" s="7" t="n">
        <v>1</v>
      </c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</row>
    <row r="63">
      <c r="A63" s="7" t="inlineStr">
        <is>
          <t>R062</t>
        </is>
      </c>
      <c r="B63" s="7" t="inlineStr">
        <is>
          <t>P009</t>
        </is>
      </c>
      <c r="C63" s="7" t="inlineStr">
        <is>
          <t>MateEngine</t>
        </is>
      </c>
      <c r="D63" s="7" t="inlineStr">
        <is>
          <t>长时间稳定</t>
        </is>
      </c>
      <c r="E63" s="7" t="n">
        <v>1</v>
      </c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</row>
    <row r="64">
      <c r="A64" s="7" t="inlineStr">
        <is>
          <t>R063</t>
        </is>
      </c>
      <c r="B64" s="7" t="inlineStr">
        <is>
          <t>P009</t>
        </is>
      </c>
      <c r="C64" s="7" t="inlineStr">
        <is>
          <t>MateEngine</t>
        </is>
      </c>
      <c r="D64" s="7" t="inlineStr">
        <is>
          <t>游戏影响</t>
        </is>
      </c>
      <c r="E64" s="7" t="n">
        <v>1</v>
      </c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</row>
    <row r="65">
      <c r="A65" s="9" t="inlineStr">
        <is>
          <t>R064</t>
        </is>
      </c>
      <c r="B65" s="9" t="inlineStr">
        <is>
          <t>P010</t>
        </is>
      </c>
      <c r="C65" s="9" t="inlineStr">
        <is>
          <t>Ai桌面宠物</t>
        </is>
      </c>
      <c r="D65" s="9" t="inlineStr">
        <is>
          <t>系统基线</t>
        </is>
      </c>
      <c r="E65" s="9" t="n">
        <v>1</v>
      </c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</row>
    <row r="66">
      <c r="A66" s="9" t="inlineStr">
        <is>
          <t>R065</t>
        </is>
      </c>
      <c r="B66" s="9" t="inlineStr">
        <is>
          <t>P010</t>
        </is>
      </c>
      <c r="C66" s="9" t="inlineStr">
        <is>
          <t>Ai桌面宠物</t>
        </is>
      </c>
      <c r="D66" s="9" t="inlineStr">
        <is>
          <t>启动峰值</t>
        </is>
      </c>
      <c r="E66" s="9" t="n">
        <v>1</v>
      </c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</row>
    <row r="67">
      <c r="A67" s="9" t="inlineStr">
        <is>
          <t>R066</t>
        </is>
      </c>
      <c r="B67" s="9" t="inlineStr">
        <is>
          <t>P010</t>
        </is>
      </c>
      <c r="C67" s="9" t="inlineStr">
        <is>
          <t>Ai桌面宠物</t>
        </is>
      </c>
      <c r="D67" s="9" t="inlineStr">
        <is>
          <t>空闲常驻</t>
        </is>
      </c>
      <c r="E67" s="9" t="n">
        <v>1</v>
      </c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</row>
    <row r="68">
      <c r="A68" s="9" t="inlineStr">
        <is>
          <t>R067</t>
        </is>
      </c>
      <c r="B68" s="9" t="inlineStr">
        <is>
          <t>P010</t>
        </is>
      </c>
      <c r="C68" s="9" t="inlineStr">
        <is>
          <t>Ai桌面宠物</t>
        </is>
      </c>
      <c r="D68" s="9" t="inlineStr">
        <is>
          <t>基础交互</t>
        </is>
      </c>
      <c r="E68" s="9" t="n">
        <v>1</v>
      </c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</row>
    <row r="69">
      <c r="A69" s="9" t="inlineStr">
        <is>
          <t>R068</t>
        </is>
      </c>
      <c r="B69" s="9" t="inlineStr">
        <is>
          <t>P010</t>
        </is>
      </c>
      <c r="C69" s="9" t="inlineStr">
        <is>
          <t>Ai桌面宠物</t>
        </is>
      </c>
      <c r="D69" s="9" t="inlineStr">
        <is>
          <t>功能开启</t>
        </is>
      </c>
      <c r="E69" s="9" t="n">
        <v>1</v>
      </c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</row>
    <row r="70">
      <c r="A70" s="9" t="inlineStr">
        <is>
          <t>R069</t>
        </is>
      </c>
      <c r="B70" s="9" t="inlineStr">
        <is>
          <t>P010</t>
        </is>
      </c>
      <c r="C70" s="9" t="inlineStr">
        <is>
          <t>Ai桌面宠物</t>
        </is>
      </c>
      <c r="D70" s="9" t="inlineStr">
        <is>
          <t>长时间稳定</t>
        </is>
      </c>
      <c r="E70" s="9" t="n">
        <v>1</v>
      </c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</row>
    <row r="71">
      <c r="A71" s="9" t="inlineStr">
        <is>
          <t>R070</t>
        </is>
      </c>
      <c r="B71" s="9" t="inlineStr">
        <is>
          <t>P010</t>
        </is>
      </c>
      <c r="C71" s="9" t="inlineStr">
        <is>
          <t>Ai桌面宠物</t>
        </is>
      </c>
      <c r="D71" s="9" t="inlineStr">
        <is>
          <t>游戏影响</t>
        </is>
      </c>
      <c r="E71" s="9" t="n">
        <v>1</v>
      </c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</row>
    <row r="72">
      <c r="A72" s="6" t="inlineStr">
        <is>
          <t>R071</t>
        </is>
      </c>
      <c r="B72" s="6" t="inlineStr">
        <is>
          <t>P011</t>
        </is>
      </c>
      <c r="C72" s="6" t="inlineStr">
        <is>
          <t>角落里的艾果 Eggo</t>
        </is>
      </c>
      <c r="D72" s="6" t="inlineStr">
        <is>
          <t>系统基线</t>
        </is>
      </c>
      <c r="E72" s="6" t="n">
        <v>1</v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</row>
    <row r="73">
      <c r="A73" s="6" t="inlineStr">
        <is>
          <t>R072</t>
        </is>
      </c>
      <c r="B73" s="6" t="inlineStr">
        <is>
          <t>P011</t>
        </is>
      </c>
      <c r="C73" s="6" t="inlineStr">
        <is>
          <t>角落里的艾果 Eggo</t>
        </is>
      </c>
      <c r="D73" s="6" t="inlineStr">
        <is>
          <t>启动峰值</t>
        </is>
      </c>
      <c r="E73" s="6" t="n">
        <v>1</v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</row>
    <row r="74">
      <c r="A74" s="6" t="inlineStr">
        <is>
          <t>R073</t>
        </is>
      </c>
      <c r="B74" s="6" t="inlineStr">
        <is>
          <t>P011</t>
        </is>
      </c>
      <c r="C74" s="6" t="inlineStr">
        <is>
          <t>角落里的艾果 Eggo</t>
        </is>
      </c>
      <c r="D74" s="6" t="inlineStr">
        <is>
          <t>空闲常驻</t>
        </is>
      </c>
      <c r="E74" s="6" t="n">
        <v>1</v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</row>
    <row r="75">
      <c r="A75" s="6" t="inlineStr">
        <is>
          <t>R074</t>
        </is>
      </c>
      <c r="B75" s="6" t="inlineStr">
        <is>
          <t>P011</t>
        </is>
      </c>
      <c r="C75" s="6" t="inlineStr">
        <is>
          <t>角落里的艾果 Eggo</t>
        </is>
      </c>
      <c r="D75" s="6" t="inlineStr">
        <is>
          <t>基础交互</t>
        </is>
      </c>
      <c r="E75" s="6" t="n">
        <v>1</v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</row>
    <row r="76">
      <c r="A76" s="6" t="inlineStr">
        <is>
          <t>R075</t>
        </is>
      </c>
      <c r="B76" s="6" t="inlineStr">
        <is>
          <t>P011</t>
        </is>
      </c>
      <c r="C76" s="6" t="inlineStr">
        <is>
          <t>角落里的艾果 Eggo</t>
        </is>
      </c>
      <c r="D76" s="6" t="inlineStr">
        <is>
          <t>功能开启</t>
        </is>
      </c>
      <c r="E76" s="6" t="n">
        <v>1</v>
      </c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</row>
    <row r="77">
      <c r="A77" s="6" t="inlineStr">
        <is>
          <t>R076</t>
        </is>
      </c>
      <c r="B77" s="6" t="inlineStr">
        <is>
          <t>P011</t>
        </is>
      </c>
      <c r="C77" s="6" t="inlineStr">
        <is>
          <t>角落里的艾果 Eggo</t>
        </is>
      </c>
      <c r="D77" s="6" t="inlineStr">
        <is>
          <t>长时间稳定</t>
        </is>
      </c>
      <c r="E77" s="6" t="n">
        <v>1</v>
      </c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</row>
    <row r="78">
      <c r="A78" s="6" t="inlineStr">
        <is>
          <t>R077</t>
        </is>
      </c>
      <c r="B78" s="6" t="inlineStr">
        <is>
          <t>P011</t>
        </is>
      </c>
      <c r="C78" s="6" t="inlineStr">
        <is>
          <t>角落里的艾果 Eggo</t>
        </is>
      </c>
      <c r="D78" s="6" t="inlineStr">
        <is>
          <t>游戏影响</t>
        </is>
      </c>
      <c r="E78" s="6" t="n">
        <v>1</v>
      </c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</row>
    <row r="79">
      <c r="A79" s="9" t="inlineStr">
        <is>
          <t>R078</t>
        </is>
      </c>
      <c r="B79" s="9" t="inlineStr">
        <is>
          <t>P012</t>
        </is>
      </c>
      <c r="C79" s="9" t="inlineStr">
        <is>
          <t>Molili Ai Friends: Ai 桌面宠物</t>
        </is>
      </c>
      <c r="D79" s="9" t="inlineStr">
        <is>
          <t>系统基线</t>
        </is>
      </c>
      <c r="E79" s="9" t="n">
        <v>1</v>
      </c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</row>
    <row r="80">
      <c r="A80" s="9" t="inlineStr">
        <is>
          <t>R079</t>
        </is>
      </c>
      <c r="B80" s="9" t="inlineStr">
        <is>
          <t>P012</t>
        </is>
      </c>
      <c r="C80" s="9" t="inlineStr">
        <is>
          <t>Molili Ai Friends: Ai 桌面宠物</t>
        </is>
      </c>
      <c r="D80" s="9" t="inlineStr">
        <is>
          <t>启动峰值</t>
        </is>
      </c>
      <c r="E80" s="9" t="n">
        <v>1</v>
      </c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</row>
    <row r="81">
      <c r="A81" s="9" t="inlineStr">
        <is>
          <t>R080</t>
        </is>
      </c>
      <c r="B81" s="9" t="inlineStr">
        <is>
          <t>P012</t>
        </is>
      </c>
      <c r="C81" s="9" t="inlineStr">
        <is>
          <t>Molili Ai Friends: Ai 桌面宠物</t>
        </is>
      </c>
      <c r="D81" s="9" t="inlineStr">
        <is>
          <t>空闲常驻</t>
        </is>
      </c>
      <c r="E81" s="9" t="n">
        <v>1</v>
      </c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</row>
    <row r="82">
      <c r="A82" s="9" t="inlineStr">
        <is>
          <t>R081</t>
        </is>
      </c>
      <c r="B82" s="9" t="inlineStr">
        <is>
          <t>P012</t>
        </is>
      </c>
      <c r="C82" s="9" t="inlineStr">
        <is>
          <t>Molili Ai Friends: Ai 桌面宠物</t>
        </is>
      </c>
      <c r="D82" s="9" t="inlineStr">
        <is>
          <t>基础交互</t>
        </is>
      </c>
      <c r="E82" s="9" t="n">
        <v>1</v>
      </c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</row>
    <row r="83">
      <c r="A83" s="9" t="inlineStr">
        <is>
          <t>R082</t>
        </is>
      </c>
      <c r="B83" s="9" t="inlineStr">
        <is>
          <t>P012</t>
        </is>
      </c>
      <c r="C83" s="9" t="inlineStr">
        <is>
          <t>Molili Ai Friends: Ai 桌面宠物</t>
        </is>
      </c>
      <c r="D83" s="9" t="inlineStr">
        <is>
          <t>功能开启</t>
        </is>
      </c>
      <c r="E83" s="9" t="n">
        <v>1</v>
      </c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</row>
    <row r="84">
      <c r="A84" s="9" t="inlineStr">
        <is>
          <t>R083</t>
        </is>
      </c>
      <c r="B84" s="9" t="inlineStr">
        <is>
          <t>P012</t>
        </is>
      </c>
      <c r="C84" s="9" t="inlineStr">
        <is>
          <t>Molili Ai Friends: Ai 桌面宠物</t>
        </is>
      </c>
      <c r="D84" s="9" t="inlineStr">
        <is>
          <t>长时间稳定</t>
        </is>
      </c>
      <c r="E84" s="9" t="n">
        <v>1</v>
      </c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</row>
    <row r="85">
      <c r="A85" s="9" t="inlineStr">
        <is>
          <t>R084</t>
        </is>
      </c>
      <c r="B85" s="9" t="inlineStr">
        <is>
          <t>P012</t>
        </is>
      </c>
      <c r="C85" s="9" t="inlineStr">
        <is>
          <t>Molili Ai Friends: Ai 桌面宠物</t>
        </is>
      </c>
      <c r="D85" s="9" t="inlineStr">
        <is>
          <t>游戏影响</t>
        </is>
      </c>
      <c r="E85" s="9" t="n">
        <v>1</v>
      </c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</row>
    <row r="86">
      <c r="A86" s="9" t="inlineStr">
        <is>
          <t>R085</t>
        </is>
      </c>
      <c r="B86" s="9" t="inlineStr">
        <is>
          <t>P013</t>
        </is>
      </c>
      <c r="C86" s="9" t="inlineStr">
        <is>
          <t>猫娘计划 - N.E.K.O</t>
        </is>
      </c>
      <c r="D86" s="9" t="inlineStr">
        <is>
          <t>系统基线</t>
        </is>
      </c>
      <c r="E86" s="9" t="n">
        <v>1</v>
      </c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</row>
    <row r="87">
      <c r="A87" s="9" t="inlineStr">
        <is>
          <t>R086</t>
        </is>
      </c>
      <c r="B87" s="9" t="inlineStr">
        <is>
          <t>P013</t>
        </is>
      </c>
      <c r="C87" s="9" t="inlineStr">
        <is>
          <t>猫娘计划 - N.E.K.O</t>
        </is>
      </c>
      <c r="D87" s="9" t="inlineStr">
        <is>
          <t>启动峰值</t>
        </is>
      </c>
      <c r="E87" s="9" t="n">
        <v>1</v>
      </c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</row>
    <row r="88">
      <c r="A88" s="9" t="inlineStr">
        <is>
          <t>R087</t>
        </is>
      </c>
      <c r="B88" s="9" t="inlineStr">
        <is>
          <t>P013</t>
        </is>
      </c>
      <c r="C88" s="9" t="inlineStr">
        <is>
          <t>猫娘计划 - N.E.K.O</t>
        </is>
      </c>
      <c r="D88" s="9" t="inlineStr">
        <is>
          <t>空闲常驻</t>
        </is>
      </c>
      <c r="E88" s="9" t="n">
        <v>1</v>
      </c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</row>
    <row r="89">
      <c r="A89" s="9" t="inlineStr">
        <is>
          <t>R088</t>
        </is>
      </c>
      <c r="B89" s="9" t="inlineStr">
        <is>
          <t>P013</t>
        </is>
      </c>
      <c r="C89" s="9" t="inlineStr">
        <is>
          <t>猫娘计划 - N.E.K.O</t>
        </is>
      </c>
      <c r="D89" s="9" t="inlineStr">
        <is>
          <t>基础交互</t>
        </is>
      </c>
      <c r="E89" s="9" t="n">
        <v>1</v>
      </c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</row>
    <row r="90">
      <c r="A90" s="9" t="inlineStr">
        <is>
          <t>R089</t>
        </is>
      </c>
      <c r="B90" s="9" t="inlineStr">
        <is>
          <t>P013</t>
        </is>
      </c>
      <c r="C90" s="9" t="inlineStr">
        <is>
          <t>猫娘计划 - N.E.K.O</t>
        </is>
      </c>
      <c r="D90" s="9" t="inlineStr">
        <is>
          <t>功能开启</t>
        </is>
      </c>
      <c r="E90" s="9" t="n">
        <v>1</v>
      </c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</row>
    <row r="91">
      <c r="A91" s="9" t="inlineStr">
        <is>
          <t>R090</t>
        </is>
      </c>
      <c r="B91" s="9" t="inlineStr">
        <is>
          <t>P013</t>
        </is>
      </c>
      <c r="C91" s="9" t="inlineStr">
        <is>
          <t>猫娘计划 - N.E.K.O</t>
        </is>
      </c>
      <c r="D91" s="9" t="inlineStr">
        <is>
          <t>长时间稳定</t>
        </is>
      </c>
      <c r="E91" s="9" t="n">
        <v>1</v>
      </c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</row>
    <row r="92">
      <c r="A92" s="9" t="inlineStr">
        <is>
          <t>R091</t>
        </is>
      </c>
      <c r="B92" s="9" t="inlineStr">
        <is>
          <t>P013</t>
        </is>
      </c>
      <c r="C92" s="9" t="inlineStr">
        <is>
          <t>猫娘计划 - N.E.K.O</t>
        </is>
      </c>
      <c r="D92" s="9" t="inlineStr">
        <is>
          <t>游戏影响</t>
        </is>
      </c>
      <c r="E92" s="9" t="n">
        <v>1</v>
      </c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</row>
  </sheetData>
  <autoFilter ref="A1:AB22"/>
  <conditionalFormatting sqref="AA2:AA22">
    <cfRule type="cellIs" priority="1" operator="equal" dxfId="0">
      <formula>"高"</formula>
    </cfRule>
  </conditionalFormatting>
  <conditionalFormatting sqref="Z2:Z22">
    <cfRule type="cellIs" priority="2" operator="lessThan" dxfId="1">
      <formula>3</formula>
    </cfRule>
  </conditionalFormatting>
  <dataValidations count="2">
    <dataValidation sqref="D2:D22" showDropDown="0" showInputMessage="0" showErrorMessage="0" allowBlank="1" type="list">
      <formula1>"系统基线,启动峰值,空闲常驻,基础交互,功能开启,长时间稳定,游戏影响"</formula1>
    </dataValidation>
    <dataValidation sqref="AA2:AA22" showDropDown="0" showInputMessage="0" showErrorMessage="0" allowBlank="1" type="list">
      <formula1>"低,中,高"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</cols>
  <sheetData>
    <row r="1" ht="34" customHeight="1">
      <c r="A1" s="3" t="inlineStr">
        <is>
          <t>样本ID</t>
        </is>
      </c>
      <c r="B1" s="3" t="inlineStr">
        <is>
          <t>记录ID</t>
        </is>
      </c>
      <c r="C1" s="3" t="inlineStr">
        <is>
          <t>时间戳</t>
        </is>
      </c>
      <c r="D1" s="3" t="inlineStr">
        <is>
          <t>进程名</t>
        </is>
      </c>
      <c r="E1" s="3" t="inlineStr">
        <is>
          <t>CPU%</t>
        </is>
      </c>
      <c r="F1" s="3" t="inlineStr">
        <is>
          <t>GPU%</t>
        </is>
      </c>
      <c r="G1" s="3" t="inlineStr">
        <is>
          <t>内存MB</t>
        </is>
      </c>
      <c r="H1" s="3" t="inlineStr">
        <is>
          <t>显存MB</t>
        </is>
      </c>
      <c r="I1" s="3" t="inlineStr">
        <is>
          <t>句柄数</t>
        </is>
      </c>
      <c r="J1" s="3" t="inlineStr">
        <is>
          <t>线程数</t>
        </is>
      </c>
      <c r="K1" s="3" t="inlineStr">
        <is>
          <t>FPS</t>
        </is>
      </c>
      <c r="L1" s="3" t="inlineStr">
        <is>
          <t>帧时间ms</t>
        </is>
      </c>
      <c r="M1" s="3" t="inlineStr">
        <is>
          <t>GPU Busy%</t>
        </is>
      </c>
      <c r="N1" s="3" t="inlineStr">
        <is>
          <t>功耗W</t>
        </is>
      </c>
      <c r="O1" s="3" t="inlineStr">
        <is>
          <t>温度C</t>
        </is>
      </c>
      <c r="P1" s="3" t="inlineStr">
        <is>
          <t>备注</t>
        </is>
      </c>
    </row>
    <row r="2" ht="28" customHeight="1">
      <c r="A2" s="4" t="inlineStr">
        <is>
          <t>S0001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 ht="28" customHeight="1">
      <c r="A3" s="4" t="inlineStr">
        <is>
          <t>S0002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</row>
    <row r="4" ht="28" customHeight="1">
      <c r="A4" s="4" t="inlineStr">
        <is>
          <t>S0003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</row>
    <row r="5" ht="28" customHeight="1">
      <c r="A5" s="4" t="inlineStr">
        <is>
          <t>S0004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 ht="28" customHeight="1">
      <c r="A6" s="4" t="inlineStr">
        <is>
          <t>S0005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 ht="28" customHeight="1">
      <c r="A7" s="4" t="inlineStr">
        <is>
          <t>S0006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 ht="28" customHeight="1">
      <c r="A8" s="4" t="inlineStr">
        <is>
          <t>S0007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 ht="28" customHeight="1">
      <c r="A9" s="4" t="inlineStr">
        <is>
          <t>S0008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 ht="28" customHeight="1">
      <c r="A10" s="4" t="inlineStr">
        <is>
          <t>S0009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 ht="28" customHeight="1">
      <c r="A11" s="4" t="inlineStr">
        <is>
          <t>S0010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 ht="28" customHeight="1">
      <c r="A12" s="4" t="inlineStr">
        <is>
          <t>S0011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 ht="28" customHeight="1">
      <c r="A13" s="4" t="inlineStr">
        <is>
          <t>S0012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 ht="28" customHeight="1">
      <c r="A14" s="4" t="inlineStr">
        <is>
          <t>S0013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 ht="28" customHeight="1">
      <c r="A15" s="4" t="inlineStr">
        <is>
          <t>S0014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 ht="28" customHeight="1">
      <c r="A16" s="4" t="inlineStr">
        <is>
          <t>S0015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 ht="28" customHeight="1">
      <c r="A17" s="4" t="inlineStr">
        <is>
          <t>S0016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  <row r="18" ht="28" customHeight="1">
      <c r="A18" s="4" t="inlineStr">
        <is>
          <t>S0017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</row>
    <row r="19" ht="28" customHeight="1">
      <c r="A19" s="4" t="inlineStr">
        <is>
          <t>S0018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</row>
    <row r="20" ht="28" customHeight="1">
      <c r="A20" s="4" t="inlineStr">
        <is>
          <t>S0019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</row>
    <row r="21" ht="28" customHeight="1">
      <c r="A21" s="4" t="inlineStr">
        <is>
          <t>S0020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</row>
    <row r="22" ht="28" customHeight="1">
      <c r="A22" s="4" t="inlineStr">
        <is>
          <t>S0021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</row>
    <row r="23" ht="28" customHeight="1">
      <c r="A23" s="4" t="inlineStr">
        <is>
          <t>S0022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</row>
    <row r="24" ht="28" customHeight="1">
      <c r="A24" s="4" t="inlineStr">
        <is>
          <t>S0023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</row>
    <row r="25" ht="28" customHeight="1">
      <c r="A25" s="4" t="inlineStr">
        <is>
          <t>S0024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</row>
    <row r="26" ht="28" customHeight="1">
      <c r="A26" s="4" t="inlineStr">
        <is>
          <t>S0025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</row>
    <row r="27" ht="28" customHeight="1">
      <c r="A27" s="4" t="inlineStr">
        <is>
          <t>S0026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</row>
    <row r="28" ht="28" customHeight="1">
      <c r="A28" s="4" t="inlineStr">
        <is>
          <t>S0027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</row>
    <row r="29" ht="28" customHeight="1">
      <c r="A29" s="4" t="inlineStr">
        <is>
          <t>S0028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</row>
    <row r="30" ht="28" customHeight="1">
      <c r="A30" s="4" t="inlineStr">
        <is>
          <t>S0029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</row>
    <row r="31" ht="28" customHeight="1">
      <c r="A31" s="4" t="inlineStr">
        <is>
          <t>S0030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</row>
    <row r="32" ht="28" customHeight="1">
      <c r="A32" s="4" t="inlineStr">
        <is>
          <t>S0031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</row>
    <row r="33" ht="28" customHeight="1">
      <c r="A33" s="4" t="inlineStr">
        <is>
          <t>S0032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</row>
    <row r="34" ht="28" customHeight="1">
      <c r="A34" s="4" t="inlineStr">
        <is>
          <t>S0033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  <row r="35" ht="28" customHeight="1">
      <c r="A35" s="4" t="inlineStr">
        <is>
          <t>S0034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  <row r="36" ht="28" customHeight="1">
      <c r="A36" s="4" t="inlineStr">
        <is>
          <t>S0035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</row>
    <row r="37" ht="28" customHeight="1">
      <c r="A37" s="4" t="inlineStr">
        <is>
          <t>S0036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</row>
    <row r="38" ht="28" customHeight="1">
      <c r="A38" s="4" t="inlineStr">
        <is>
          <t>S0037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</row>
    <row r="39" ht="28" customHeight="1">
      <c r="A39" s="4" t="inlineStr">
        <is>
          <t>S0038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</row>
    <row r="40" ht="28" customHeight="1">
      <c r="A40" s="4" t="inlineStr">
        <is>
          <t>S0039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</row>
    <row r="41" ht="28" customHeight="1">
      <c r="A41" s="4" t="inlineStr">
        <is>
          <t>S0040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</row>
    <row r="42" ht="28" customHeight="1">
      <c r="A42" s="4" t="inlineStr">
        <is>
          <t>S0041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</row>
    <row r="43" ht="28" customHeight="1">
      <c r="A43" s="4" t="inlineStr">
        <is>
          <t>S0042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</row>
    <row r="44" ht="28" customHeight="1">
      <c r="A44" s="4" t="inlineStr">
        <is>
          <t>S0043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</row>
    <row r="45" ht="28" customHeight="1">
      <c r="A45" s="4" t="inlineStr">
        <is>
          <t>S0044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</row>
    <row r="46" ht="28" customHeight="1">
      <c r="A46" s="4" t="inlineStr">
        <is>
          <t>S0045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</row>
    <row r="47" ht="28" customHeight="1">
      <c r="A47" s="4" t="inlineStr">
        <is>
          <t>S0046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</row>
    <row r="48" ht="28" customHeight="1">
      <c r="A48" s="4" t="inlineStr">
        <is>
          <t>S0047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</row>
    <row r="49" ht="28" customHeight="1">
      <c r="A49" s="4" t="inlineStr">
        <is>
          <t>S0048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</row>
    <row r="50" ht="28" customHeight="1">
      <c r="A50" s="4" t="inlineStr">
        <is>
          <t>S0049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</row>
    <row r="51" ht="28" customHeight="1">
      <c r="A51" s="4" t="inlineStr">
        <is>
          <t>S0050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34" customWidth="1" min="15" max="15"/>
  </cols>
  <sheetData>
    <row r="1" ht="34" customHeight="1">
      <c r="A1" s="1" t="inlineStr">
        <is>
          <t>产品ID</t>
        </is>
      </c>
      <c r="B1" s="1" t="inlineStr">
        <is>
          <t>产品名称</t>
        </is>
      </c>
      <c r="C1" s="1" t="inlineStr">
        <is>
          <t>来源渠道</t>
        </is>
      </c>
      <c r="D1" s="1" t="inlineStr">
        <is>
          <t>CPU空闲P95%</t>
        </is>
      </c>
      <c r="E1" s="1" t="inlineStr">
        <is>
          <t>GPU空闲P95%</t>
        </is>
      </c>
      <c r="F1" s="1" t="inlineStr">
        <is>
          <t>内存最大MB</t>
        </is>
      </c>
      <c r="G1" s="1" t="inlineStr">
        <is>
          <t>长时间内存增长MB</t>
        </is>
      </c>
      <c r="H1" s="1" t="inlineStr">
        <is>
          <t>游戏1%Low降幅%</t>
        </is>
      </c>
      <c r="I1" s="1" t="inlineStr">
        <is>
          <t>性能评分</t>
        </is>
      </c>
      <c r="J1" s="1" t="inlineStr">
        <is>
          <t>体验评分</t>
        </is>
      </c>
      <c r="K1" s="1" t="inlineStr">
        <is>
          <t>稳定性评分</t>
        </is>
      </c>
      <c r="L1" s="1" t="inlineStr">
        <is>
          <t>隐私/权限风险</t>
        </is>
      </c>
      <c r="M1" s="1" t="inlineStr">
        <is>
          <t>总分</t>
        </is>
      </c>
      <c r="N1" s="1" t="inlineStr">
        <is>
          <t>推荐等级</t>
        </is>
      </c>
      <c r="O1" s="1" t="inlineStr">
        <is>
          <t>结论</t>
        </is>
      </c>
    </row>
    <row r="2" ht="28" customHeight="1">
      <c r="A2" s="11" t="inlineStr">
        <is>
          <t>P001</t>
        </is>
      </c>
      <c r="B2" s="11" t="inlineStr">
        <is>
          <t>BongoCat</t>
        </is>
      </c>
      <c r="C2" s="11" t="inlineStr">
        <is>
          <t>GitHub Release/本地安装</t>
        </is>
      </c>
      <c r="D2" s="11">
        <f>IF($A2="","",IFERROR(AVERAGEIFS(场景记录!J:J,场景记录!B:B,$A2,场景记录!D:D,"空闲常驻"),""))</f>
        <v/>
      </c>
      <c r="E2" s="11">
        <f>IF($A2="","",IFERROR(AVERAGEIFS(场景记录!M:M,场景记录!B:B,$A2,场景记录!D:D,"空闲常驻"),""))</f>
        <v/>
      </c>
      <c r="F2" s="11">
        <f>IF($A2="","",IFERROR(MAXIFS(场景记录!P:P,场景记录!B:B,$A2),""))</f>
        <v/>
      </c>
      <c r="G2" s="11" t="inlineStr"/>
      <c r="H2" s="11" t="inlineStr"/>
      <c r="I2" s="11" t="inlineStr"/>
      <c r="J2" s="11">
        <f>IF($A2="","",IFERROR(AVERAGEIFS(场景记录!Z:Z,场景记录!B:B,$A2),""))</f>
        <v/>
      </c>
      <c r="K2" s="11" t="inlineStr"/>
      <c r="L2" s="11" t="inlineStr"/>
      <c r="M2" s="11">
        <f>IF($A2="","",IFERROR(ROUND(AVERAGE(I2:L2),1),""))</f>
        <v/>
      </c>
      <c r="N2" s="11">
        <f>IF(M2="","",IF(M2&gt;=4.2,"推荐",IF(M2&gt;=3.4,"可接受",IF(M2&gt;=2.6,"谨慎","不推荐"))))</f>
        <v/>
      </c>
      <c r="O2" s="11" t="inlineStr"/>
    </row>
    <row r="3" ht="28" customHeight="1">
      <c r="A3" s="12" t="inlineStr">
        <is>
          <t>P002</t>
        </is>
      </c>
      <c r="B3" s="12" t="inlineStr">
        <is>
          <t>Desktop Mate</t>
        </is>
      </c>
      <c r="C3" s="12" t="inlineStr">
        <is>
          <t>Steam</t>
        </is>
      </c>
      <c r="D3" s="12">
        <f>IF($A3="","",IFERROR(AVERAGEIFS(场景记录!J:J,场景记录!B:B,$A3,场景记录!D:D,"空闲常驻"),""))</f>
        <v/>
      </c>
      <c r="E3" s="12">
        <f>IF($A3="","",IFERROR(AVERAGEIFS(场景记录!M:M,场景记录!B:B,$A3,场景记录!D:D,"空闲常驻"),""))</f>
        <v/>
      </c>
      <c r="F3" s="12">
        <f>IF($A3="","",IFERROR(MAXIFS(场景记录!P:P,场景记录!B:B,$A3),""))</f>
        <v/>
      </c>
      <c r="G3" s="12" t="inlineStr"/>
      <c r="H3" s="12" t="inlineStr"/>
      <c r="I3" s="12" t="inlineStr"/>
      <c r="J3" s="12">
        <f>IF($A3="","",IFERROR(AVERAGEIFS(场景记录!Z:Z,场景记录!B:B,$A3),""))</f>
        <v/>
      </c>
      <c r="K3" s="12" t="inlineStr"/>
      <c r="L3" s="12" t="inlineStr"/>
      <c r="M3" s="12">
        <f>IF($A3="","",IFERROR(ROUND(AVERAGE(I3:L3),1),""))</f>
        <v/>
      </c>
      <c r="N3" s="12">
        <f>IF(M3="","",IF(M3&gt;=4.2,"推荐",IF(M3&gt;=3.4,"可接受",IF(M3&gt;=2.6,"谨慎","不推荐"))))</f>
        <v/>
      </c>
      <c r="O3" s="12" t="inlineStr"/>
    </row>
    <row r="4" ht="28" customHeight="1">
      <c r="A4" s="11" t="inlineStr">
        <is>
          <t>P003</t>
        </is>
      </c>
      <c r="B4" s="11" t="inlineStr">
        <is>
          <t>VPet-Simulator</t>
        </is>
      </c>
      <c r="C4" s="11" t="inlineStr">
        <is>
          <t>Steam</t>
        </is>
      </c>
      <c r="D4" s="11">
        <f>IF($A4="","",IFERROR(AVERAGEIFS(场景记录!J:J,场景记录!B:B,$A4,场景记录!D:D,"空闲常驻"),""))</f>
        <v/>
      </c>
      <c r="E4" s="11">
        <f>IF($A4="","",IFERROR(AVERAGEIFS(场景记录!M:M,场景记录!B:B,$A4,场景记录!D:D,"空闲常驻"),""))</f>
        <v/>
      </c>
      <c r="F4" s="11">
        <f>IF($A4="","",IFERROR(MAXIFS(场景记录!P:P,场景记录!B:B,$A4),""))</f>
        <v/>
      </c>
      <c r="G4" s="11" t="inlineStr"/>
      <c r="H4" s="11" t="inlineStr"/>
      <c r="I4" s="11" t="inlineStr"/>
      <c r="J4" s="11">
        <f>IF($A4="","",IFERROR(AVERAGEIFS(场景记录!Z:Z,场景记录!B:B,$A4),""))</f>
        <v/>
      </c>
      <c r="K4" s="11" t="inlineStr"/>
      <c r="L4" s="11" t="inlineStr"/>
      <c r="M4" s="11">
        <f>IF($A4="","",IFERROR(ROUND(AVERAGE(I4:L4),1),""))</f>
        <v/>
      </c>
      <c r="N4" s="11">
        <f>IF(M4="","",IF(M4&gt;=4.2,"推荐",IF(M4&gt;=3.4,"可接受",IF(M4&gt;=2.6,"谨慎","不推荐"))))</f>
        <v/>
      </c>
      <c r="O4" s="11" t="inlineStr"/>
    </row>
    <row r="5" ht="28" customHeight="1">
      <c r="A5" s="13" t="inlineStr">
        <is>
          <t>P004</t>
        </is>
      </c>
      <c r="B5" s="13" t="inlineStr">
        <is>
          <t>Desktop Goose</t>
        </is>
      </c>
      <c r="C5" s="13" t="inlineStr">
        <is>
          <t>itch.io</t>
        </is>
      </c>
      <c r="D5" s="13">
        <f>IF($A5="","",IFERROR(AVERAGEIFS(场景记录!J:J,场景记录!B:B,$A5,场景记录!D:D,"空闲常驻"),""))</f>
        <v/>
      </c>
      <c r="E5" s="13">
        <f>IF($A5="","",IFERROR(AVERAGEIFS(场景记录!M:M,场景记录!B:B,$A5,场景记录!D:D,"空闲常驻"),""))</f>
        <v/>
      </c>
      <c r="F5" s="13">
        <f>IF($A5="","",IFERROR(MAXIFS(场景记录!P:P,场景记录!B:B,$A5),""))</f>
        <v/>
      </c>
      <c r="G5" s="13" t="inlineStr"/>
      <c r="H5" s="13" t="inlineStr"/>
      <c r="I5" s="13" t="inlineStr"/>
      <c r="J5" s="13">
        <f>IF($A5="","",IFERROR(AVERAGEIFS(场景记录!Z:Z,场景记录!B:B,$A5),""))</f>
        <v/>
      </c>
      <c r="K5" s="13" t="inlineStr"/>
      <c r="L5" s="13" t="inlineStr"/>
      <c r="M5" s="13">
        <f>IF($A5="","",IFERROR(ROUND(AVERAGE(I5:L5),1),""))</f>
        <v/>
      </c>
      <c r="N5" s="13">
        <f>IF(M5="","",IF(M5&gt;=4.2,"推荐",IF(M5&gt;=3.4,"可接受",IF(M5&gt;=2.6,"谨慎","不推荐"))))</f>
        <v/>
      </c>
      <c r="O5" s="13" t="inlineStr"/>
    </row>
    <row r="6" ht="28" customHeight="1">
      <c r="A6" s="14" t="inlineStr">
        <is>
          <t>P005</t>
        </is>
      </c>
      <c r="B6" s="14" t="inlineStr">
        <is>
          <t>Ai Vpet</t>
        </is>
      </c>
      <c r="C6" s="14" t="inlineStr">
        <is>
          <t>Steam</t>
        </is>
      </c>
      <c r="D6" s="14">
        <f>IF($A6="","",IFERROR(AVERAGEIFS(场景记录!J:J,场景记录!B:B,$A6,场景记录!D:D,"空闲常驻"),""))</f>
        <v/>
      </c>
      <c r="E6" s="14">
        <f>IF($A6="","",IFERROR(AVERAGEIFS(场景记录!M:M,场景记录!B:B,$A6,场景记录!D:D,"空闲常驻"),""))</f>
        <v/>
      </c>
      <c r="F6" s="14">
        <f>IF($A6="","",IFERROR(MAXIFS(场景记录!P:P,场景记录!B:B,$A6),""))</f>
        <v/>
      </c>
      <c r="G6" s="14" t="inlineStr"/>
      <c r="H6" s="14" t="inlineStr"/>
      <c r="I6" s="14" t="inlineStr"/>
      <c r="J6" s="14">
        <f>IF($A6="","",IFERROR(AVERAGEIFS(场景记录!Z:Z,场景记录!B:B,$A6),""))</f>
        <v/>
      </c>
      <c r="K6" s="14" t="inlineStr"/>
      <c r="L6" s="14" t="inlineStr"/>
      <c r="M6" s="14">
        <f>IF($A6="","",IFERROR(ROUND(AVERAGE(I6:L6),1),""))</f>
        <v/>
      </c>
      <c r="N6" s="14">
        <f>IF(M6="","",IF(M6&gt;=4.2,"推荐",IF(M6&gt;=3.4,"可接受",IF(M6&gt;=2.6,"谨慎","不推荐"))))</f>
        <v/>
      </c>
      <c r="O6" s="14" t="inlineStr"/>
    </row>
    <row r="7" ht="28" customHeight="1">
      <c r="A7" s="11" t="inlineStr">
        <is>
          <t>P006</t>
        </is>
      </c>
      <c r="B7" s="11" t="inlineStr">
        <is>
          <t>Tiny Pasture</t>
        </is>
      </c>
      <c r="C7" s="11" t="inlineStr">
        <is>
          <t>Steam</t>
        </is>
      </c>
      <c r="D7" s="11">
        <f>IF($A7="","",IFERROR(AVERAGEIFS(场景记录!J:J,场景记录!B:B,$A7,场景记录!D:D,"空闲常驻"),""))</f>
        <v/>
      </c>
      <c r="E7" s="11">
        <f>IF($A7="","",IFERROR(AVERAGEIFS(场景记录!M:M,场景记录!B:B,$A7,场景记录!D:D,"空闲常驻"),""))</f>
        <v/>
      </c>
      <c r="F7" s="11">
        <f>IF($A7="","",IFERROR(MAXIFS(场景记录!P:P,场景记录!B:B,$A7),""))</f>
        <v/>
      </c>
      <c r="G7" s="11" t="inlineStr"/>
      <c r="H7" s="11" t="inlineStr"/>
      <c r="I7" s="11" t="inlineStr"/>
      <c r="J7" s="11">
        <f>IF($A7="","",IFERROR(AVERAGEIFS(场景记录!Z:Z,场景记录!B:B,$A7),""))</f>
        <v/>
      </c>
      <c r="K7" s="11" t="inlineStr"/>
      <c r="L7" s="11" t="inlineStr"/>
      <c r="M7" s="11">
        <f>IF($A7="","",IFERROR(ROUND(AVERAGE(I7:L7),1),""))</f>
        <v/>
      </c>
      <c r="N7" s="11">
        <f>IF(M7="","",IF(M7&gt;=4.2,"推荐",IF(M7&gt;=3.4,"可接受",IF(M7&gt;=2.6,"谨慎","不推荐"))))</f>
        <v/>
      </c>
      <c r="O7" s="11" t="inlineStr"/>
    </row>
    <row r="8" ht="28" customHeight="1">
      <c r="A8" s="12" t="inlineStr">
        <is>
          <t>P007</t>
        </is>
      </c>
      <c r="B8" s="12" t="inlineStr">
        <is>
          <t>Pocket Waifu:Desktop Pet</t>
        </is>
      </c>
      <c r="C8" s="12" t="inlineStr">
        <is>
          <t>Steam</t>
        </is>
      </c>
      <c r="D8" s="12">
        <f>IF($A8="","",IFERROR(AVERAGEIFS(场景记录!J:J,场景记录!B:B,$A8,场景记录!D:D,"空闲常驻"),""))</f>
        <v/>
      </c>
      <c r="E8" s="12">
        <f>IF($A8="","",IFERROR(AVERAGEIFS(场景记录!M:M,场景记录!B:B,$A8,场景记录!D:D,"空闲常驻"),""))</f>
        <v/>
      </c>
      <c r="F8" s="12">
        <f>IF($A8="","",IFERROR(MAXIFS(场景记录!P:P,场景记录!B:B,$A8),""))</f>
        <v/>
      </c>
      <c r="G8" s="12" t="inlineStr"/>
      <c r="H8" s="12" t="inlineStr"/>
      <c r="I8" s="12" t="inlineStr"/>
      <c r="J8" s="12">
        <f>IF($A8="","",IFERROR(AVERAGEIFS(场景记录!Z:Z,场景记录!B:B,$A8),""))</f>
        <v/>
      </c>
      <c r="K8" s="12" t="inlineStr"/>
      <c r="L8" s="12" t="inlineStr"/>
      <c r="M8" s="12">
        <f>IF($A8="","",IFERROR(ROUND(AVERAGE(I8:L8),1),""))</f>
        <v/>
      </c>
      <c r="N8" s="12">
        <f>IF(M8="","",IF(M8&gt;=4.2,"推荐",IF(M8&gt;=3.4,"可接受",IF(M8&gt;=2.6,"谨慎","不推荐"))))</f>
        <v/>
      </c>
      <c r="O8" s="12" t="inlineStr"/>
    </row>
    <row r="9" ht="28" customHeight="1">
      <c r="A9" s="15" t="inlineStr">
        <is>
          <t>P008</t>
        </is>
      </c>
      <c r="B9" s="15" t="inlineStr">
        <is>
          <t>Rusty's Retirement</t>
        </is>
      </c>
      <c r="C9" s="15" t="inlineStr">
        <is>
          <t>Steam</t>
        </is>
      </c>
      <c r="D9" s="15">
        <f>IF($A9="","",IFERROR(AVERAGEIFS(场景记录!J:J,场景记录!B:B,$A9,场景记录!D:D,"空闲常驻"),""))</f>
        <v/>
      </c>
      <c r="E9" s="15">
        <f>IF($A9="","",IFERROR(AVERAGEIFS(场景记录!M:M,场景记录!B:B,$A9,场景记录!D:D,"空闲常驻"),""))</f>
        <v/>
      </c>
      <c r="F9" s="15">
        <f>IF($A9="","",IFERROR(MAXIFS(场景记录!P:P,场景记录!B:B,$A9),""))</f>
        <v/>
      </c>
      <c r="G9" s="15" t="inlineStr"/>
      <c r="H9" s="15" t="inlineStr"/>
      <c r="I9" s="15" t="inlineStr"/>
      <c r="J9" s="15">
        <f>IF($A9="","",IFERROR(AVERAGEIFS(场景记录!Z:Z,场景记录!B:B,$A9),""))</f>
        <v/>
      </c>
      <c r="K9" s="15" t="inlineStr"/>
      <c r="L9" s="15" t="inlineStr"/>
      <c r="M9" s="15">
        <f>IF($A9="","",IFERROR(ROUND(AVERAGE(I9:L9),1),""))</f>
        <v/>
      </c>
      <c r="N9" s="15">
        <f>IF(M9="","",IF(M9&gt;=4.2,"推荐",IF(M9&gt;=3.4,"可接受",IF(M9&gt;=2.6,"谨慎","不推荐"))))</f>
        <v/>
      </c>
      <c r="O9" s="15" t="inlineStr"/>
    </row>
    <row r="10" ht="28" customHeight="1">
      <c r="A10" s="12" t="inlineStr">
        <is>
          <t>P009</t>
        </is>
      </c>
      <c r="B10" s="12" t="inlineStr">
        <is>
          <t>MateEngine</t>
        </is>
      </c>
      <c r="C10" s="12" t="inlineStr">
        <is>
          <t>Steam</t>
        </is>
      </c>
      <c r="D10" s="12">
        <f>IF($A10="","",IFERROR(AVERAGEIFS(场景记录!J:J,场景记录!B:B,$A10,场景记录!D:D,"空闲常驻"),""))</f>
        <v/>
      </c>
      <c r="E10" s="12">
        <f>IF($A10="","",IFERROR(AVERAGEIFS(场景记录!M:M,场景记录!B:B,$A10,场景记录!D:D,"空闲常驻"),""))</f>
        <v/>
      </c>
      <c r="F10" s="12">
        <f>IF($A10="","",IFERROR(MAXIFS(场景记录!P:P,场景记录!B:B,$A10),""))</f>
        <v/>
      </c>
      <c r="G10" s="12" t="inlineStr"/>
      <c r="H10" s="12" t="inlineStr"/>
      <c r="I10" s="12" t="inlineStr"/>
      <c r="J10" s="12">
        <f>IF($A10="","",IFERROR(AVERAGEIFS(场景记录!Z:Z,场景记录!B:B,$A10),""))</f>
        <v/>
      </c>
      <c r="K10" s="12" t="inlineStr"/>
      <c r="L10" s="12" t="inlineStr"/>
      <c r="M10" s="12">
        <f>IF($A10="","",IFERROR(ROUND(AVERAGE(I10:L10),1),""))</f>
        <v/>
      </c>
      <c r="N10" s="12">
        <f>IF(M10="","",IF(M10&gt;=4.2,"推荐",IF(M10&gt;=3.4,"可接受",IF(M10&gt;=2.6,"谨慎","不推荐"))))</f>
        <v/>
      </c>
      <c r="O10" s="12" t="inlineStr"/>
    </row>
    <row r="11" ht="28" customHeight="1">
      <c r="A11" s="14" t="inlineStr">
        <is>
          <t>P010</t>
        </is>
      </c>
      <c r="B11" s="14" t="inlineStr">
        <is>
          <t>Ai桌面宠物</t>
        </is>
      </c>
      <c r="C11" s="14" t="inlineStr">
        <is>
          <t>Steam</t>
        </is>
      </c>
      <c r="D11" s="14">
        <f>IF($A11="","",IFERROR(AVERAGEIFS(场景记录!J:J,场景记录!B:B,$A11,场景记录!D:D,"空闲常驻"),""))</f>
        <v/>
      </c>
      <c r="E11" s="14">
        <f>IF($A11="","",IFERROR(AVERAGEIFS(场景记录!M:M,场景记录!B:B,$A11,场景记录!D:D,"空闲常驻"),""))</f>
        <v/>
      </c>
      <c r="F11" s="14">
        <f>IF($A11="","",IFERROR(MAXIFS(场景记录!P:P,场景记录!B:B,$A11),""))</f>
        <v/>
      </c>
      <c r="G11" s="14" t="inlineStr"/>
      <c r="H11" s="14" t="inlineStr"/>
      <c r="I11" s="14" t="inlineStr"/>
      <c r="J11" s="14">
        <f>IF($A11="","",IFERROR(AVERAGEIFS(场景记录!Z:Z,场景记录!B:B,$A11),""))</f>
        <v/>
      </c>
      <c r="K11" s="14" t="inlineStr"/>
      <c r="L11" s="14" t="inlineStr"/>
      <c r="M11" s="14">
        <f>IF($A11="","",IFERROR(ROUND(AVERAGE(I11:L11),1),""))</f>
        <v/>
      </c>
      <c r="N11" s="14">
        <f>IF(M11="","",IF(M11&gt;=4.2,"推荐",IF(M11&gt;=3.4,"可接受",IF(M11&gt;=2.6,"谨慎","不推荐"))))</f>
        <v/>
      </c>
      <c r="O11" s="14" t="inlineStr"/>
    </row>
    <row r="12" ht="28" customHeight="1">
      <c r="A12" s="11" t="inlineStr">
        <is>
          <t>P011</t>
        </is>
      </c>
      <c r="B12" s="11" t="inlineStr">
        <is>
          <t>角落里的艾果 Eggo</t>
        </is>
      </c>
      <c r="C12" s="11" t="inlineStr">
        <is>
          <t>Steam</t>
        </is>
      </c>
      <c r="D12" s="11">
        <f>IF($A12="","",IFERROR(AVERAGEIFS(场景记录!J:J,场景记录!B:B,$A12,场景记录!D:D,"空闲常驻"),""))</f>
        <v/>
      </c>
      <c r="E12" s="11">
        <f>IF($A12="","",IFERROR(AVERAGEIFS(场景记录!M:M,场景记录!B:B,$A12,场景记录!D:D,"空闲常驻"),""))</f>
        <v/>
      </c>
      <c r="F12" s="11">
        <f>IF($A12="","",IFERROR(MAXIFS(场景记录!P:P,场景记录!B:B,$A12),""))</f>
        <v/>
      </c>
      <c r="G12" s="11" t="inlineStr"/>
      <c r="H12" s="11" t="inlineStr"/>
      <c r="I12" s="11" t="inlineStr"/>
      <c r="J12" s="11">
        <f>IF($A12="","",IFERROR(AVERAGEIFS(场景记录!Z:Z,场景记录!B:B,$A12),""))</f>
        <v/>
      </c>
      <c r="K12" s="11" t="inlineStr"/>
      <c r="L12" s="11" t="inlineStr"/>
      <c r="M12" s="11">
        <f>IF($A12="","",IFERROR(ROUND(AVERAGE(I12:L12),1),""))</f>
        <v/>
      </c>
      <c r="N12" s="11">
        <f>IF(M12="","",IF(M12&gt;=4.2,"推荐",IF(M12&gt;=3.4,"可接受",IF(M12&gt;=2.6,"谨慎","不推荐"))))</f>
        <v/>
      </c>
      <c r="O12" s="11" t="inlineStr"/>
    </row>
    <row r="13" ht="28" customHeight="1">
      <c r="A13" s="14" t="inlineStr">
        <is>
          <t>P012</t>
        </is>
      </c>
      <c r="B13" s="14" t="inlineStr">
        <is>
          <t>Molili Ai Friends: Ai 桌面宠物</t>
        </is>
      </c>
      <c r="C13" s="14" t="inlineStr">
        <is>
          <t>Steam</t>
        </is>
      </c>
      <c r="D13" s="14">
        <f>IF($A13="","",IFERROR(AVERAGEIFS(场景记录!J:J,场景记录!B:B,$A13,场景记录!D:D,"空闲常驻"),""))</f>
        <v/>
      </c>
      <c r="E13" s="14">
        <f>IF($A13="","",IFERROR(AVERAGEIFS(场景记录!M:M,场景记录!B:B,$A13,场景记录!D:D,"空闲常驻"),""))</f>
        <v/>
      </c>
      <c r="F13" s="14">
        <f>IF($A13="","",IFERROR(MAXIFS(场景记录!P:P,场景记录!B:B,$A13),""))</f>
        <v/>
      </c>
      <c r="G13" s="14" t="inlineStr"/>
      <c r="H13" s="14" t="inlineStr"/>
      <c r="I13" s="14" t="inlineStr"/>
      <c r="J13" s="14">
        <f>IF($A13="","",IFERROR(AVERAGEIFS(场景记录!Z:Z,场景记录!B:B,$A13),""))</f>
        <v/>
      </c>
      <c r="K13" s="14" t="inlineStr"/>
      <c r="L13" s="14" t="inlineStr"/>
      <c r="M13" s="14">
        <f>IF($A13="","",IFERROR(ROUND(AVERAGE(I13:L13),1),""))</f>
        <v/>
      </c>
      <c r="N13" s="14">
        <f>IF(M13="","",IF(M13&gt;=4.2,"推荐",IF(M13&gt;=3.4,"可接受",IF(M13&gt;=2.6,"谨慎","不推荐"))))</f>
        <v/>
      </c>
      <c r="O13" s="14" t="inlineStr"/>
    </row>
    <row r="14" ht="28" customHeight="1">
      <c r="A14" s="14" t="inlineStr">
        <is>
          <t>P013</t>
        </is>
      </c>
      <c r="B14" s="14" t="inlineStr">
        <is>
          <t>猫娘计划 - N.E.K.O</t>
        </is>
      </c>
      <c r="C14" s="14" t="inlineStr">
        <is>
          <t>Steam</t>
        </is>
      </c>
      <c r="D14" s="14">
        <f>IF($A14="","",IFERROR(AVERAGEIFS(场景记录!J:J,场景记录!B:B,$A14,场景记录!D:D,"空闲常驻"),""))</f>
        <v/>
      </c>
      <c r="E14" s="14">
        <f>IF($A14="","",IFERROR(AVERAGEIFS(场景记录!M:M,场景记录!B:B,$A14,场景记录!D:D,"空闲常驻"),""))</f>
        <v/>
      </c>
      <c r="F14" s="14">
        <f>IF($A14="","",IFERROR(MAXIFS(场景记录!P:P,场景记录!B:B,$A14),""))</f>
        <v/>
      </c>
      <c r="G14" s="14" t="inlineStr"/>
      <c r="H14" s="14" t="inlineStr"/>
      <c r="I14" s="14" t="inlineStr"/>
      <c r="J14" s="14">
        <f>IF($A14="","",IFERROR(AVERAGEIFS(场景记录!Z:Z,场景记录!B:B,$A14),""))</f>
        <v/>
      </c>
      <c r="K14" s="14" t="inlineStr"/>
      <c r="L14" s="14" t="inlineStr"/>
      <c r="M14" s="14">
        <f>IF($A14="","",IFERROR(ROUND(AVERAGE(I14:L14),1),""))</f>
        <v/>
      </c>
      <c r="N14" s="14">
        <f>IF(M14="","",IF(M14&gt;=4.2,"推荐",IF(M14&gt;=3.4,"可接受",IF(M14&gt;=2.6,"谨慎","不推荐"))))</f>
        <v/>
      </c>
      <c r="O14" s="14" t="inlineStr"/>
    </row>
    <row r="15" ht="2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28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 ht="28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 ht="28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 ht="28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 ht="28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 ht="28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 ht="28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 ht="28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 ht="28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 ht="28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 ht="28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 ht="28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 ht="28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 ht="28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 ht="28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 ht="28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 ht="28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 ht="28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 ht="28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 ht="2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 ht="2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 ht="2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 ht="2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 ht="2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 ht="2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 ht="2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 ht="2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 ht="28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 ht="28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 ht="28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 ht="28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</sheetData>
  <conditionalFormatting sqref="N2:N51">
    <cfRule type="cellIs" priority="1" operator="equal" dxfId="2">
      <formula>"推荐"</formula>
    </cfRule>
    <cfRule type="cellIs" priority="2" operator="equal" dxfId="0">
      <formula>"不推荐"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4" customWidth="1" min="5" max="5"/>
    <col width="32" customWidth="1" min="6" max="6"/>
    <col width="32" customWidth="1" min="7" max="7"/>
    <col width="26" customWidth="1" min="8" max="8"/>
    <col width="32" customWidth="1" min="9" max="9"/>
    <col width="12" customWidth="1" min="10" max="10"/>
  </cols>
  <sheetData>
    <row r="1" ht="34" customHeight="1">
      <c r="A1" s="1" t="inlineStr">
        <is>
          <t>问题ID</t>
        </is>
      </c>
      <c r="B1" s="1" t="inlineStr">
        <is>
          <t>产品ID</t>
        </is>
      </c>
      <c r="C1" s="1" t="inlineStr">
        <is>
          <t>场景</t>
        </is>
      </c>
      <c r="D1" s="1" t="inlineStr">
        <is>
          <t>严重度</t>
        </is>
      </c>
      <c r="E1" s="1" t="inlineStr">
        <is>
          <t>问题类型</t>
        </is>
      </c>
      <c r="F1" s="1" t="inlineStr">
        <is>
          <t>现象描述</t>
        </is>
      </c>
      <c r="G1" s="1" t="inlineStr">
        <is>
          <t>复现步骤</t>
        </is>
      </c>
      <c r="H1" s="1" t="inlineStr">
        <is>
          <t>证据路径</t>
        </is>
      </c>
      <c r="I1" s="1" t="inlineStr">
        <is>
          <t>处理建议</t>
        </is>
      </c>
      <c r="J1" s="1" t="inlineStr">
        <is>
          <t>状态</t>
        </is>
      </c>
    </row>
    <row r="2" ht="28" customHeight="1">
      <c r="A2" s="2" t="inlineStr">
        <is>
          <t>I001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待处理</t>
        </is>
      </c>
    </row>
    <row r="3" ht="28" customHeight="1">
      <c r="A3" s="2" t="inlineStr">
        <is>
          <t>I002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待处理</t>
        </is>
      </c>
    </row>
    <row r="4" ht="28" customHeight="1">
      <c r="A4" s="2" t="inlineStr">
        <is>
          <t>I003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待处理</t>
        </is>
      </c>
    </row>
    <row r="5" ht="28" customHeight="1">
      <c r="A5" s="2" t="inlineStr">
        <is>
          <t>I004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待处理</t>
        </is>
      </c>
    </row>
    <row r="6" ht="28" customHeight="1">
      <c r="A6" s="2" t="inlineStr">
        <is>
          <t>I005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待处理</t>
        </is>
      </c>
    </row>
    <row r="7" ht="28" customHeight="1">
      <c r="A7" s="2" t="inlineStr">
        <is>
          <t>I006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待处理</t>
        </is>
      </c>
    </row>
    <row r="8" ht="28" customHeight="1">
      <c r="A8" s="2" t="inlineStr">
        <is>
          <t>I007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待处理</t>
        </is>
      </c>
    </row>
    <row r="9" ht="28" customHeight="1">
      <c r="A9" s="2" t="inlineStr">
        <is>
          <t>I008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待处理</t>
        </is>
      </c>
    </row>
    <row r="10" ht="28" customHeight="1">
      <c r="A10" s="2" t="inlineStr">
        <is>
          <t>I009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待处理</t>
        </is>
      </c>
    </row>
    <row r="11" ht="28" customHeight="1">
      <c r="A11" s="2" t="inlineStr">
        <is>
          <t>I010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待处理</t>
        </is>
      </c>
    </row>
    <row r="12" ht="28" customHeight="1">
      <c r="A12" s="2" t="inlineStr">
        <is>
          <t>I011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待处理</t>
        </is>
      </c>
    </row>
    <row r="13" ht="28" customHeight="1">
      <c r="A13" s="2" t="inlineStr">
        <is>
          <t>I012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>
        <is>
          <t>待处理</t>
        </is>
      </c>
    </row>
    <row r="14" ht="28" customHeight="1">
      <c r="A14" s="2" t="inlineStr">
        <is>
          <t>I013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待处理</t>
        </is>
      </c>
    </row>
    <row r="15" ht="28" customHeight="1">
      <c r="A15" s="2" t="inlineStr">
        <is>
          <t>I014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待处理</t>
        </is>
      </c>
    </row>
    <row r="16" ht="28" customHeight="1">
      <c r="A16" s="2" t="inlineStr">
        <is>
          <t>I015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待处理</t>
        </is>
      </c>
    </row>
  </sheetData>
  <dataValidations count="2">
    <dataValidation sqref="D2:D16" showDropDown="0" showInputMessage="0" showErrorMessage="0" allowBlank="1" type="list">
      <formula1>"P0,P1,P2,P3"</formula1>
    </dataValidation>
    <dataValidation sqref="J2:J16" showDropDown="0" showInputMessage="0" showErrorMessage="0" allowBlank="1" type="list">
      <formula1>"待处理,已确认,已修复,不处理"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34" customHeight="1">
      <c r="A1" s="1" t="inlineStr">
        <is>
          <t>字段/概念</t>
        </is>
      </c>
      <c r="B1" s="1" t="inlineStr">
        <is>
          <t>说明</t>
        </is>
      </c>
    </row>
    <row r="2" ht="28" customHeight="1">
      <c r="A2" s="2" t="inlineStr">
        <is>
          <t>P95</t>
        </is>
      </c>
      <c r="B2" s="2" t="inlineStr">
        <is>
          <t>把采样值从小到大排序后，位于 95% 位置的值，用于观察高占用尾部。</t>
        </is>
      </c>
    </row>
    <row r="3" ht="28" customHeight="1">
      <c r="A3" s="2" t="inlineStr">
        <is>
          <t>1% Low</t>
        </is>
      </c>
      <c r="B3" s="2" t="inlineStr">
        <is>
          <t>最低 1% 帧率区间的平均表现，比平均 FPS 更能反映卡顿。</t>
        </is>
      </c>
    </row>
    <row r="4" ht="28" customHeight="1">
      <c r="A4" s="2" t="inlineStr">
        <is>
          <t>GPU Engine</t>
        </is>
      </c>
      <c r="B4" s="2" t="inlineStr">
        <is>
          <t>任务管理器中显示的 GPU 引擎，如 3D、Copy、Video Decode。</t>
        </is>
      </c>
    </row>
    <row r="5" ht="28" customHeight="1">
      <c r="A5" s="2" t="inlineStr">
        <is>
          <t>工作集内存</t>
        </is>
      </c>
      <c r="B5" s="2" t="inlineStr">
        <is>
          <t>进程当前占用的物理内存，适合观察常驻压力。</t>
        </is>
      </c>
    </row>
    <row r="6" ht="28" customHeight="1">
      <c r="A6" s="2" t="inlineStr">
        <is>
          <t>句柄增长</t>
        </is>
      </c>
      <c r="B6" s="2" t="inlineStr">
        <is>
          <t>起始句柄数与结束句柄数差值，持续增长可能意味着资源泄漏。</t>
        </is>
      </c>
    </row>
    <row r="7" ht="28" customHeight="1">
      <c r="A7" s="2" t="inlineStr">
        <is>
          <t>风险等级</t>
        </is>
      </c>
      <c r="B7" s="2" t="inlineStr">
        <is>
          <t>低：可接受；中：需解释或优化；高：影响体验、安全或稳定性。</t>
        </is>
      </c>
    </row>
    <row r="8" ht="28" customHeight="1">
      <c r="A8" s="2" t="inlineStr">
        <is>
          <t>推荐等级</t>
        </is>
      </c>
      <c r="B8" s="2" t="inlineStr">
        <is>
          <t>由总分初步生成，最终应结合问题记录和主观体验人工确认。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用途</t>
        </is>
      </c>
      <c r="B1" s="3" t="inlineStr">
        <is>
          <t>说明</t>
        </is>
      </c>
    </row>
    <row r="2">
      <c r="A2" s="4" t="inlineStr">
        <is>
          <t>一键采集</t>
        </is>
      </c>
      <c r="B2" s="4" t="inlineStr">
        <is>
          <t>使用 tools/collect_desktop_pet_perf.ps1 按产品、进程名、场景和时长自动采集 CPU、GPU、内存、显存、句柄、线程、IO、TCP 连接数。</t>
        </is>
      </c>
    </row>
    <row r="3">
      <c r="A3" s="4" t="inlineStr">
        <is>
          <t>配置运行</t>
        </is>
      </c>
      <c r="B3" s="4" t="inlineStr">
        <is>
          <t>复制 tools/perf_collect_config.example.json，改产品名、进程名和场景后，用 tools/run_perf_from_config.ps1 批量执行。</t>
        </is>
      </c>
    </row>
    <row r="4">
      <c r="A4" s="4" t="inlineStr">
        <is>
          <t>导入 Excel</t>
        </is>
      </c>
      <c r="B4" s="4" t="inlineStr">
        <is>
          <t>采集结束后运行 tools/import_perf_results.py，它会把 perf_runs 下的 summary.csv 和 raw_samples.csv 导入本工作簿。</t>
        </is>
      </c>
    </row>
    <row r="5">
      <c r="A5" s="4" t="inlineStr">
        <is>
          <t>FPS/帧时间</t>
        </is>
      </c>
      <c r="B5" s="4" t="inlineStr">
        <is>
          <t>使用 PresentMon 或 NVIDIA FrameView 单独导出 CSV，再通过 import_perf_results.py 的 --presentmon-csv 参数导入。</t>
        </is>
      </c>
    </row>
    <row r="6">
      <c r="A6" s="4" t="inlineStr">
        <is>
          <t>功耗/温度</t>
        </is>
      </c>
      <c r="B6" s="4" t="inlineStr">
        <is>
          <t>使用 HWiNFO 传感器日志导出 CSV，再通过 import_perf_results.py 的 --hwinfo-csv 参数导入。</t>
        </is>
      </c>
    </row>
    <row r="7">
      <c r="A7" s="4" t="inlineStr">
        <is>
          <t>推荐命令</t>
        </is>
      </c>
      <c r="B7" s="4" t="inlineStr">
        <is>
          <t>powershell -ExecutionPolicy Bypass -File D:\desktop_pet\tools\collect_desktop_pet_perf.ps1 -ProductId P001 -ProductName BongoCat -ProcessName bongo-cat -Scenario 空闲常驻 -DurationSec 600</t>
        </is>
      </c>
    </row>
    <row r="8">
      <c r="A8" s="4" t="inlineStr">
        <is>
          <t>导入命令</t>
        </is>
      </c>
      <c r="B8" s="4" t="inlineStr">
        <is>
          <t>C:\Users\zoeuuliu\.cache\codex-runtimes\codex-primary-runtime\dependencies\python\python.exe D:\desktop_pet\tools\import_perf_results.py</t>
        </is>
      </c>
    </row>
    <row r="9">
      <c r="A9" s="4" t="inlineStr">
        <is>
          <t>注意</t>
        </is>
      </c>
      <c r="B9" s="4" t="inlineStr">
        <is>
          <t>GPU/显存依赖 Windows GPU 性能计数器；FPS、1% Low、帧时间、功耗、温度需要外部工具日志，普通进程 API 无法稳定直接提供。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8" customWidth="1" min="8" max="8"/>
    <col width="14" customWidth="1" min="9" max="9"/>
    <col width="12" customWidth="1" min="10" max="10"/>
  </cols>
  <sheetData>
    <row r="1">
      <c r="A1" s="3" t="inlineStr">
        <is>
          <t>导入ID</t>
        </is>
      </c>
      <c r="B1" s="3" t="inlineStr">
        <is>
          <t>产品ID</t>
        </is>
      </c>
      <c r="C1" s="3" t="inlineStr">
        <is>
          <t>产品名称</t>
        </is>
      </c>
      <c r="D1" s="3" t="inlineStr">
        <is>
          <t>场景</t>
        </is>
      </c>
      <c r="E1" s="3" t="inlineStr">
        <is>
          <t>开始时间</t>
        </is>
      </c>
      <c r="F1" s="3" t="inlineStr">
        <is>
          <t>采样数</t>
        </is>
      </c>
      <c r="G1" s="3" t="inlineStr">
        <is>
          <t>原始CSV</t>
        </is>
      </c>
      <c r="H1" s="3" t="inlineStr">
        <is>
          <t>PresentMon/FrameView CSV</t>
        </is>
      </c>
      <c r="I1" s="3" t="inlineStr">
        <is>
          <t>HWiNFO CSV</t>
        </is>
      </c>
      <c r="J1" s="3" t="inlineStr">
        <is>
          <t>导入时间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2026-05-09T04:00:31Z</dcterms:created>
  <dcterms:modified xmlns:dcterms="http://purl.org/dc/terms/" xmlns:xsi="http://www.w3.org/2001/XMLSchema-instance" xsi:type="dcterms:W3CDTF">2026-05-09T13:45:24Z</dcterms:modified>
</cp:coreProperties>
</file>